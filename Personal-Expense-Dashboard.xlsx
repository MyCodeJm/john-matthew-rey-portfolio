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heet" sheetId="2" state="visible" r:id="rId4"/>
    <sheet name="Income" sheetId="3" state="visible" r:id="rId5"/>
    <sheet name="Expenses" sheetId="4" state="visible" r:id="rId6"/>
    <sheet name="Budget" sheetId="5" state="visible" r:id="rId7"/>
  </sheets>
  <definedNames>
    <definedName function="false" hidden="false" localSheetId="0" name="_xlnm.Print_Area" vbProcedure="false">Dashboard!$A$1:$W$50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<sst xmlns="http://schemas.openxmlformats.org/spreadsheetml/2006/main" count="130" uniqueCount="78">
  <si>
    <t xml:space="preserve">Budget vs Actuals</t>
  </si>
  <si>
    <t xml:space="preserve">INCOME SURPLUS</t>
  </si>
  <si>
    <t xml:space="preserve">BETTER OFF</t>
  </si>
  <si>
    <t xml:space="preserve">LIVING EXPENSES</t>
  </si>
  <si>
    <t xml:space="preserve">DINING OUT</t>
  </si>
  <si>
    <t xml:space="preserve">DISCRETIONARY</t>
  </si>
  <si>
    <t xml:space="preserve">TRANSPORT</t>
  </si>
  <si>
    <t xml:space="preserve">MEDICAL</t>
  </si>
  <si>
    <t xml:space="preserve">CHARITY</t>
  </si>
  <si>
    <t xml:space="preserve">Personal finances — all figures in Philippine Pesos (₱)</t>
  </si>
  <si>
    <t xml:space="preserve">Months covered:</t>
  </si>
  <si>
    <t xml:space="preserve">Expenses by Category</t>
  </si>
  <si>
    <t xml:space="preserve">Personal Profit &amp; Loss</t>
  </si>
  <si>
    <t xml:space="preserve">Category</t>
  </si>
  <si>
    <t xml:space="preserve">Actual</t>
  </si>
  <si>
    <t xml:space="preserve">Budget</t>
  </si>
  <si>
    <t xml:space="preserve">Variance</t>
  </si>
  <si>
    <t xml:space="preserve">Living Expenses</t>
  </si>
  <si>
    <t xml:space="preserve">Income</t>
  </si>
  <si>
    <t xml:space="preserve">Dining Out</t>
  </si>
  <si>
    <t xml:space="preserve">    Salary</t>
  </si>
  <si>
    <t xml:space="preserve">Transport</t>
  </si>
  <si>
    <t xml:space="preserve">    Interest</t>
  </si>
  <si>
    <t xml:space="preserve">Discretionary</t>
  </si>
  <si>
    <t xml:space="preserve">    Dividends</t>
  </si>
  <si>
    <t xml:space="preserve">Medical</t>
  </si>
  <si>
    <t xml:space="preserve">Income Total</t>
  </si>
  <si>
    <t xml:space="preserve">Charity</t>
  </si>
  <si>
    <t xml:space="preserve">Expense</t>
  </si>
  <si>
    <t xml:space="preserve">Income by Source</t>
  </si>
  <si>
    <t xml:space="preserve">    Living Expenses</t>
  </si>
  <si>
    <t xml:space="preserve">Source</t>
  </si>
  <si>
    <t xml:space="preserve">Amount</t>
  </si>
  <si>
    <t xml:space="preserve">    Dining Out</t>
  </si>
  <si>
    <t xml:space="preserve">Salary</t>
  </si>
  <si>
    <t xml:space="preserve">    Transport</t>
  </si>
  <si>
    <t xml:space="preserve">Interest</t>
  </si>
  <si>
    <t xml:space="preserve">    Discretionary</t>
  </si>
  <si>
    <t xml:space="preserve">Dividends</t>
  </si>
  <si>
    <t xml:space="preserve">    Medical</t>
  </si>
  <si>
    <t xml:space="preserve">    Charity</t>
  </si>
  <si>
    <t xml:space="preserve">Monthly Totals</t>
  </si>
  <si>
    <t xml:space="preserve">Expense Total</t>
  </si>
  <si>
    <t xml:space="preserve">Month</t>
  </si>
  <si>
    <t xml:space="preserve">Inc. Budget</t>
  </si>
  <si>
    <t xml:space="preserve">Expenses</t>
  </si>
  <si>
    <t xml:space="preserve">Exp. Budget</t>
  </si>
  <si>
    <t xml:space="preserve">Jan 2026</t>
  </si>
  <si>
    <t xml:space="preserve">Income Surplus/(Deficit)</t>
  </si>
  <si>
    <t xml:space="preserve">Feb 2026</t>
  </si>
  <si>
    <t xml:space="preserve">Mar 2026</t>
  </si>
  <si>
    <t xml:space="preserve">Income Log</t>
  </si>
  <si>
    <t xml:space="preserve">Add one row per income received. Blue cells are yours to edit.</t>
  </si>
  <si>
    <t xml:space="preserve">Date</t>
  </si>
  <si>
    <t xml:space="preserve">Description</t>
  </si>
  <si>
    <t xml:space="preserve">Monthly salary</t>
  </si>
  <si>
    <t xml:space="preserve">Savings interest</t>
  </si>
  <si>
    <t xml:space="preserve">Investment dividend</t>
  </si>
  <si>
    <t xml:space="preserve">Expense Log</t>
  </si>
  <si>
    <t xml:space="preserve">Add one row per expense. Category uses a dropdown so the dashboard stays accurate.</t>
  </si>
  <si>
    <t xml:space="preserve">Payment Method</t>
  </si>
  <si>
    <t xml:space="preserve">Room rent</t>
  </si>
  <si>
    <t xml:space="preserve">Bank Transfer</t>
  </si>
  <si>
    <t xml:space="preserve">Meralco electric bill</t>
  </si>
  <si>
    <t xml:space="preserve">Lunch with officemates</t>
  </si>
  <si>
    <t xml:space="preserve">Cash</t>
  </si>
  <si>
    <t xml:space="preserve">Grab to work</t>
  </si>
  <si>
    <t xml:space="preserve">GCash</t>
  </si>
  <si>
    <t xml:space="preserve">Shopee order</t>
  </si>
  <si>
    <t xml:space="preserve">Vitamins &amp; meds</t>
  </si>
  <si>
    <t xml:space="preserve">Dinner out</t>
  </si>
  <si>
    <t xml:space="preserve">Church donation</t>
  </si>
  <si>
    <t xml:space="preserve">Streaming subscription</t>
  </si>
  <si>
    <t xml:space="preserve">Budget Targets</t>
  </si>
  <si>
    <t xml:space="preserve">Edit the blue Monthly Budget column. The dashboard scales these by the number of months in your data.</t>
  </si>
  <si>
    <t xml:space="preserve">INCOME</t>
  </si>
  <si>
    <t xml:space="preserve">Monthly Budget</t>
  </si>
  <si>
    <t xml:space="preserve">EXPENSES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</si>
</sst>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₱#,##0;&quot;(₱&quot;#,##0\)"/>
    <numFmt numFmtId="166" formatCode="General"/>
    <numFmt numFmtId="167" formatCode="yyyy\-mm\-dd"/>
    <numFmt numFmtId="168" formatCode="\₱#,##0.00;&quot;(₱&quot;#,##0.00\)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D3528"/>
      <name val="Calibri"/>
      <family val="0"/>
      <charset val="1"/>
    </font>
    <font>
      <b val="true"/>
      <sz val="14"/>
      <color rgb="FF3D3528"/>
      <name val="Calibri"/>
      <family val="0"/>
      <charset val="1"/>
    </font>
    <font>
      <b val="true"/>
      <sz val="7.5"/>
      <color rgb="FF8A7F6D"/>
      <name val="Calibri"/>
      <family val="0"/>
      <charset val="1"/>
    </font>
    <font>
      <sz val="9"/>
      <color rgb="FF8A7F6D"/>
      <name val="Calibri"/>
      <family val="0"/>
      <charset val="1"/>
    </font>
    <font>
      <b val="true"/>
      <sz val="10"/>
      <color rgb="FF3D3528"/>
      <name val="Calibri"/>
      <family val="0"/>
      <charset val="1"/>
    </font>
    <font>
      <b val="true"/>
      <sz val="11"/>
      <color rgb="FF3D3528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3D352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CC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5EFE3"/>
        <bgColor rgb="FFFFFFFF"/>
      </patternFill>
    </fill>
    <fill>
      <patternFill patternType="solid">
        <fgColor rgb="FFE8DFC9"/>
        <bgColor rgb="FFD9D9D9"/>
      </patternFill>
    </fill>
    <fill>
      <patternFill patternType="solid">
        <fgColor rgb="FF7E9B76"/>
        <bgColor rgb="FF878787"/>
      </patternFill>
    </fill>
    <fill>
      <patternFill patternType="solid">
        <fgColor rgb="FFC9D8C2"/>
        <bgColor rgb="FFD9CFBA"/>
      </patternFill>
    </fill>
    <fill>
      <patternFill patternType="solid">
        <fgColor rgb="FFE5D3B8"/>
        <bgColor rgb="FFD9CFB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FBA"/>
      </left>
      <right style="thin">
        <color rgb="FFD9CFBA"/>
      </right>
      <top style="thin">
        <color rgb="FFD9CFBA"/>
      </top>
      <bottom style="thin">
        <color rgb="FFD9CFB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B3453A"/>
      </font>
    </dxf>
    <dxf>
      <font>
        <b val="1"/>
        <color rgb="FF5A7A52"/>
      </font>
    </dxf>
    <dxf>
      <fill>
        <patternFill patternType="solid">
          <fgColor rgb="FF7E9B7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CC"/>
          <bgColor rgb="FF000000"/>
        </patternFill>
      </fill>
    </dxf>
    <dxf>
      <fill>
        <patternFill patternType="solid">
          <fgColor rgb="FF3D352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A7F6D"/>
      <rgbColor rgb="FF800080"/>
      <rgbColor rgb="FF008080"/>
      <rgbColor rgb="FFA8BCA0"/>
      <rgbColor rgb="FF878787"/>
      <rgbColor rgb="FF9999FF"/>
      <rgbColor rgb="FFB3453A"/>
      <rgbColor rgb="FFF5EFE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DFC9"/>
      <rgbColor rgb="FFD9CFBA"/>
      <rgbColor rgb="FFC9D8C2"/>
      <rgbColor rgb="FFC8A87C"/>
      <rgbColor rgb="FFCC99FF"/>
      <rgbColor rgb="FFE5D3B8"/>
      <rgbColor rgb="FF3366FF"/>
      <rgbColor rgb="FF33CCCC"/>
      <rgbColor rgb="FF99CC00"/>
      <rgbColor rgb="FFFFCC00"/>
      <rgbColor rgb="FFFF9900"/>
      <rgbColor rgb="FFFF6600"/>
      <rgbColor rgb="FF4F81BD"/>
      <rgbColor rgb="FF7E9B76"/>
      <rgbColor rgb="FF003366"/>
      <rgbColor rgb="FF5A7A52"/>
      <rgbColor rgb="FF003300"/>
      <rgbColor rgb="FF333300"/>
      <rgbColor rgb="FF993300"/>
      <rgbColor rgb="FF993366"/>
      <rgbColor rgb="FF333399"/>
      <rgbColor rgb="FF3D35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Dashboard!C8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c8a87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Dashboard!$B$9:$B$14</c:f>
              <c:strCache>
                <c:ptCount val="6"/>
                <c:pt idx="0">
                  <c:v>Living Expenses</c:v>
                </c:pt>
                <c:pt idx="1">
                  <c:v>Dining Out</c:v>
                </c:pt>
                <c:pt idx="2">
                  <c:v>Transport</c:v>
                </c:pt>
                <c:pt idx="3">
                  <c:v>Discretionary</c:v>
                </c:pt>
                <c:pt idx="4">
                  <c:v>Medical</c:v>
                </c:pt>
                <c:pt idx="5">
                  <c:v>Charity</c:v>
                </c:pt>
              </c:strCache>
            </c:strRef>
          </c:cat>
          <c:val>
            <c:numRef>
              <c:f>Dashboard!$C$9:$C$14</c:f>
              <c:numCache>
                <c:formatCode>\₱#,##0;"(₱"#,##0\)</c:formatCode>
                <c:ptCount val="6"/>
                <c:pt idx="0">
                  <c:v>16180</c:v>
                </c:pt>
                <c:pt idx="1">
                  <c:v>770</c:v>
                </c:pt>
                <c:pt idx="2">
                  <c:v>1000</c:v>
                </c:pt>
                <c:pt idx="3">
                  <c:v>1799</c:v>
                </c:pt>
                <c:pt idx="4">
                  <c:v>620</c:v>
                </c:pt>
                <c:pt idx="5">
                  <c:v>300</c:v>
                </c:pt>
              </c:numCache>
            </c:numRef>
          </c:val>
        </c:ser>
        <c:ser>
          <c:idx val="1"/>
          <c:order val="1"/>
          <c:tx>
            <c:strRef>
              <c:f>Dashboard!D8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5d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Dashboard!$B$9:$B$14</c:f>
              <c:strCache>
                <c:ptCount val="6"/>
                <c:pt idx="0">
                  <c:v>Living Expenses</c:v>
                </c:pt>
                <c:pt idx="1">
                  <c:v>Dining Out</c:v>
                </c:pt>
                <c:pt idx="2">
                  <c:v>Transport</c:v>
                </c:pt>
                <c:pt idx="3">
                  <c:v>Discretionary</c:v>
                </c:pt>
                <c:pt idx="4">
                  <c:v>Medical</c:v>
                </c:pt>
                <c:pt idx="5">
                  <c:v>Charity</c:v>
                </c:pt>
              </c:strCache>
            </c:strRef>
          </c:cat>
          <c:val>
            <c:numRef>
              <c:f>Dashboard!$D$9:$D$14</c:f>
              <c:numCache>
                <c:formatCode>\₱#,##0;"(₱"#,##0\)</c:formatCode>
                <c:ptCount val="6"/>
                <c:pt idx="0">
                  <c:v>19500</c:v>
                </c:pt>
                <c:pt idx="1">
                  <c:v>3000</c:v>
                </c:pt>
                <c:pt idx="2">
                  <c:v>3600</c:v>
                </c:pt>
                <c:pt idx="3">
                  <c:v>4500</c:v>
                </c:pt>
                <c:pt idx="4">
                  <c:v>2400</c:v>
                </c:pt>
                <c:pt idx="5">
                  <c:v>1200</c:v>
                </c:pt>
              </c:numCache>
            </c:numRef>
          </c:val>
        </c:ser>
        <c:gapWidth val="60"/>
        <c:overlap val="0"/>
        <c:axId val="36508425"/>
        <c:axId val="30410154"/>
      </c:barChart>
      <c:catAx>
        <c:axId val="365084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10154"/>
        <c:crosses val="autoZero"/>
        <c:auto val="1"/>
        <c:lblAlgn val="ctr"/>
        <c:lblOffset val="100"/>
        <c:noMultiLvlLbl val="0"/>
      </c:catAx>
      <c:valAx>
        <c:axId val="30410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₱#,##0;&quot;(₱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084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Dashboard!C23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7e9b7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Dashboard!$B$24:$B$26</c:f>
              <c:strCache>
                <c:ptCount val="3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</c:strCache>
            </c:strRef>
          </c:cat>
          <c:val>
            <c:numRef>
              <c:f>Dashboard!$C$24:$C$26</c:f>
              <c:numCache>
                <c:formatCode>\₱#,##0;"(₱"#,##0\)</c:formatCode>
                <c:ptCount val="3"/>
                <c:pt idx="0">
                  <c:v>18120</c:v>
                </c:pt>
                <c:pt idx="1">
                  <c:v>18450</c:v>
                </c:pt>
                <c:pt idx="2">
                  <c:v>18500</c:v>
                </c:pt>
              </c:numCache>
            </c:numRef>
          </c:val>
        </c:ser>
        <c:ser>
          <c:idx val="1"/>
          <c:order val="1"/>
          <c:tx>
            <c:strRef>
              <c:f>Dashboard!D23</c:f>
              <c:strCache>
                <c:ptCount val="1"/>
                <c:pt idx="0">
                  <c:v>Inc. Budget</c:v>
                </c:pt>
              </c:strCache>
            </c:strRef>
          </c:tx>
          <c:spPr>
            <a:solidFill>
              <a:srgbClr val="c9d8c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Dashboard!$B$24:$B$26</c:f>
              <c:strCache>
                <c:ptCount val="3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</c:strCache>
            </c:strRef>
          </c:cat>
          <c:val>
            <c:numRef>
              <c:f>Dashboard!$D$24:$D$26</c:f>
              <c:numCache>
                <c:formatCode>\₱#,##0;"(₱"#,##0\)</c:formatCode>
                <c:ptCount val="3"/>
                <c:pt idx="0">
                  <c:v>18500</c:v>
                </c:pt>
                <c:pt idx="1">
                  <c:v>18500</c:v>
                </c:pt>
                <c:pt idx="2">
                  <c:v>18500</c:v>
                </c:pt>
              </c:numCache>
            </c:numRef>
          </c:val>
        </c:ser>
        <c:gapWidth val="50"/>
        <c:overlap val="0"/>
        <c:axId val="64068906"/>
        <c:axId val="26667353"/>
      </c:barChart>
      <c:catAx>
        <c:axId val="640689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67353"/>
        <c:crosses val="autoZero"/>
        <c:auto val="1"/>
        <c:lblAlgn val="ctr"/>
        <c:lblOffset val="100"/>
        <c:noMultiLvlLbl val="0"/>
      </c:catAx>
      <c:valAx>
        <c:axId val="2666735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₱#,##0;&quot;(₱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689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Dashboard!E23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8a87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Dashboard!$B$24:$B$26</c:f>
              <c:strCache>
                <c:ptCount val="3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</c:strCache>
            </c:strRef>
          </c:cat>
          <c:val>
            <c:numRef>
              <c:f>Dashboard!$E$24:$E$26</c:f>
              <c:numCache>
                <c:formatCode>\₱#,##0;"(₱"#,##0\)</c:formatCode>
                <c:ptCount val="3"/>
                <c:pt idx="0">
                  <c:v>8230</c:v>
                </c:pt>
                <c:pt idx="1">
                  <c:v>6890</c:v>
                </c:pt>
                <c:pt idx="2">
                  <c:v>5549</c:v>
                </c:pt>
              </c:numCache>
            </c:numRef>
          </c:val>
        </c:ser>
        <c:ser>
          <c:idx val="1"/>
          <c:order val="1"/>
          <c:tx>
            <c:strRef>
              <c:f>Dashboard!F23</c:f>
              <c:strCache>
                <c:ptCount val="1"/>
                <c:pt idx="0">
                  <c:v>Exp. Budget</c:v>
                </c:pt>
              </c:strCache>
            </c:strRef>
          </c:tx>
          <c:spPr>
            <a:solidFill>
              <a:srgbClr val="e5d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Dashboard!$B$24:$B$26</c:f>
              <c:strCache>
                <c:ptCount val="3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</c:strCache>
            </c:strRef>
          </c:cat>
          <c:val>
            <c:numRef>
              <c:f>Dashboard!$F$24:$F$26</c:f>
              <c:numCache>
                <c:formatCode>\₱#,##0;"(₱"#,##0\)</c:formatCode>
                <c:ptCount val="3"/>
                <c:pt idx="0">
                  <c:v>11400</c:v>
                </c:pt>
                <c:pt idx="1">
                  <c:v>11400</c:v>
                </c:pt>
                <c:pt idx="2">
                  <c:v>11400</c:v>
                </c:pt>
              </c:numCache>
            </c:numRef>
          </c:val>
        </c:ser>
        <c:gapWidth val="50"/>
        <c:overlap val="0"/>
        <c:axId val="25794558"/>
        <c:axId val="81988215"/>
      </c:barChart>
      <c:catAx>
        <c:axId val="257945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88215"/>
        <c:crosses val="autoZero"/>
        <c:auto val="1"/>
        <c:lblAlgn val="ctr"/>
        <c:lblOffset val="100"/>
        <c:noMultiLvlLbl val="0"/>
      </c:catAx>
      <c:valAx>
        <c:axId val="8198821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₱#,##0;&quot;(₱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945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Mix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Dashboard!C17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7e9b7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d8c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a8bca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Dashboard!$B$18:$B$20</c:f>
              <c:strCache>
                <c:ptCount val="3"/>
                <c:pt idx="0">
                  <c:v>Salary</c:v>
                </c:pt>
                <c:pt idx="1">
                  <c:v>Interest</c:v>
                </c:pt>
                <c:pt idx="2">
                  <c:v>Dividends</c:v>
                </c:pt>
              </c:strCache>
            </c:strRef>
          </c:cat>
          <c:val>
            <c:numRef>
              <c:f>Dashboard!$C$18:$C$20</c:f>
              <c:numCache>
                <c:formatCode>\₱#,##0;"(₱"#,##0\)</c:formatCode>
                <c:ptCount val="3"/>
                <c:pt idx="0">
                  <c:v>54500</c:v>
                </c:pt>
                <c:pt idx="1">
                  <c:v>120</c:v>
                </c:pt>
                <c:pt idx="2">
                  <c:v>450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160920</xdr:rowOff>
    </xdr:from>
    <xdr:to>
      <xdr:col>6</xdr:col>
      <xdr:colOff>27720</xdr:colOff>
      <xdr:row>45</xdr:row>
      <xdr:rowOff>151560</xdr:rowOff>
    </xdr:to>
    <xdr:graphicFrame>
      <xdr:nvGraphicFramePr>
        <xdr:cNvPr id="0" name="Chart 1"/>
        <xdr:cNvGraphicFramePr/>
      </xdr:nvGraphicFramePr>
      <xdr:xfrm>
        <a:off x="141120" y="5334120"/>
        <a:ext cx="46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</xdr:row>
      <xdr:rowOff>160560</xdr:rowOff>
    </xdr:from>
    <xdr:to>
      <xdr:col>13</xdr:col>
      <xdr:colOff>513360</xdr:colOff>
      <xdr:row>20</xdr:row>
      <xdr:rowOff>2880</xdr:rowOff>
    </xdr:to>
    <xdr:graphicFrame>
      <xdr:nvGraphicFramePr>
        <xdr:cNvPr id="1" name="Chart 2"/>
        <xdr:cNvGraphicFramePr/>
      </xdr:nvGraphicFramePr>
      <xdr:xfrm>
        <a:off x="4933800" y="114300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160920</xdr:rowOff>
    </xdr:from>
    <xdr:to>
      <xdr:col>13</xdr:col>
      <xdr:colOff>513360</xdr:colOff>
      <xdr:row>36</xdr:row>
      <xdr:rowOff>2880</xdr:rowOff>
    </xdr:to>
    <xdr:graphicFrame>
      <xdr:nvGraphicFramePr>
        <xdr:cNvPr id="2" name="Chart 3"/>
        <xdr:cNvGraphicFramePr/>
      </xdr:nvGraphicFramePr>
      <xdr:xfrm>
        <a:off x="4933800" y="419112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17</xdr:col>
      <xdr:colOff>0</xdr:colOff>
      <xdr:row>25</xdr:row>
      <xdr:rowOff>160560</xdr:rowOff>
    </xdr:from>
    <xdr:to>
      <xdr:col>19</xdr:col>
      <xdr:colOff>451800</xdr:colOff>
      <xdr:row>41</xdr:row>
      <xdr:rowOff>172080</xdr:rowOff>
    </xdr:to>
    <xdr:graphicFrame>
      <xdr:nvGraphicFramePr>
        <xdr:cNvPr id="3" name="Chart 4"/>
        <xdr:cNvGraphicFramePr/>
      </xdr:nvGraphicFramePr>
      <xdr:xfrm>
        <a:off x="10784160" y="4952880"/>
        <a:ext cx="30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penseTable" displayName="ExpenseTable" ref="A4:E41" headerRowCount="1" totalsRowCount="0" totalsRowShown="0">
  <autoFilter ref="A4:E41"/>
  <tableColumns count="5">
    <tableColumn id="1" name="Date"/>
    <tableColumn id="2" name="Category"/>
    <tableColumn id="3" name="Description"/>
    <tableColumn id="4" name="Amount"/>
    <tableColumn id="5" name="Payment Method"/>
  </tableColumns>
</table>
</file>

<file path=xl/tables/table2.xml><?xml version="1.0" encoding="utf-8"?>
<table xmlns="http://schemas.openxmlformats.org/spreadsheetml/2006/main" id="2" name="IncomeTable" displayName="IncomeTable" ref="A4:D29" headerRowCount="1" totalsRowCount="0" totalsRowShown="0">
  <autoFilter ref="A4:D29"/>
  <tableColumns count="4">
    <tableColumn id="1" name="Date"/>
    <tableColumn id="2" name="Source"/>
    <tableColumn id="3" name="Description"/>
    <tableColumn id="4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3528"/>
    <pageSetUpPr fitToPage="true"/>
  </sheetPr>
  <dimension ref="A1:AA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6" min="3" style="0" width="12"/>
    <col collapsed="false" customWidth="true" hidden="false" outlineLevel="0" max="7" min="7" style="0" width="2"/>
    <col collapsed="false" customWidth="true" hidden="false" outlineLevel="0" max="16" min="8" style="0" width="9"/>
    <col collapsed="false" customWidth="true" hidden="false" outlineLevel="0" max="17" min="17" style="0" width="2"/>
    <col collapsed="false" customWidth="true" hidden="false" outlineLevel="0" max="18" min="18" style="0" width="24"/>
    <col collapsed="false" customWidth="true" hidden="false" outlineLevel="0" max="21" min="19" style="0" width="13"/>
    <col collapsed="false" customWidth="true" hidden="false" outlineLevel="0" max="23" min="22" style="0" width="9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7.35" hidden="false" customHeight="false" outlineLevel="0" collapsed="false">
      <c r="A2" s="1"/>
      <c r="B2" s="2" t="s">
        <v>0</v>
      </c>
      <c r="C2" s="2"/>
      <c r="D2" s="2"/>
      <c r="E2" s="2"/>
      <c r="F2" s="3"/>
      <c r="G2" s="3"/>
      <c r="H2" s="4" t="n">
        <f aca="false">SUM(Income!D:D)-SUM(Expenses!D:D)</f>
        <v>34401</v>
      </c>
      <c r="I2" s="4"/>
      <c r="J2" s="4" t="n">
        <f aca="false">(SUM(Income!D:D)-SUM(Expenses!D:D))-((SUM(Budget!B6:B8)-SUM(Budget!B12:B17))*$E$5)</f>
        <v>13101</v>
      </c>
      <c r="K2" s="4"/>
      <c r="L2" s="4" t="n">
        <f aca="false">-SUMIFS(Expenses!D:D,Expenses!B:B,"Living Expenses")</f>
        <v>-16180</v>
      </c>
      <c r="M2" s="4"/>
      <c r="N2" s="4" t="n">
        <f aca="false">-SUMIFS(Expenses!D:D,Expenses!B:B,"Dining Out")</f>
        <v>-770</v>
      </c>
      <c r="O2" s="4"/>
      <c r="P2" s="4" t="n">
        <f aca="false">-SUMIFS(Expenses!D:D,Expenses!B:B,"Discretionary")</f>
        <v>-1799</v>
      </c>
      <c r="Q2" s="4"/>
      <c r="R2" s="4" t="n">
        <f aca="false">-SUMIFS(Expenses!D:D,Expenses!B:B,"Transport")</f>
        <v>-1000</v>
      </c>
      <c r="S2" s="4"/>
      <c r="T2" s="4" t="n">
        <f aca="false">-SUMIFS(Expenses!D:D,Expenses!B:B,"Medical")</f>
        <v>-620</v>
      </c>
      <c r="U2" s="4"/>
      <c r="V2" s="4" t="n">
        <f aca="false">-SUMIFS(Expenses!D:D,Expenses!B:B,"Charity")</f>
        <v>-300</v>
      </c>
      <c r="W2" s="4"/>
      <c r="X2" s="3"/>
      <c r="Y2" s="3"/>
      <c r="Z2" s="1"/>
      <c r="AA2" s="1"/>
    </row>
    <row r="3" customFormat="false" ht="15" hidden="false" customHeight="false" outlineLevel="0" collapsed="false">
      <c r="A3" s="1"/>
      <c r="B3" s="2"/>
      <c r="C3" s="2"/>
      <c r="D3" s="2"/>
      <c r="E3" s="2"/>
      <c r="F3" s="3"/>
      <c r="G3" s="3"/>
      <c r="H3" s="5" t="s">
        <v>1</v>
      </c>
      <c r="I3" s="5"/>
      <c r="J3" s="5" t="s">
        <v>2</v>
      </c>
      <c r="K3" s="5"/>
      <c r="L3" s="5" t="s">
        <v>3</v>
      </c>
      <c r="M3" s="5"/>
      <c r="N3" s="5" t="s">
        <v>4</v>
      </c>
      <c r="O3" s="5"/>
      <c r="P3" s="5" t="s">
        <v>5</v>
      </c>
      <c r="Q3" s="5"/>
      <c r="R3" s="5" t="s">
        <v>6</v>
      </c>
      <c r="S3" s="5"/>
      <c r="T3" s="5" t="s">
        <v>7</v>
      </c>
      <c r="U3" s="5"/>
      <c r="V3" s="5" t="s">
        <v>8</v>
      </c>
      <c r="W3" s="5"/>
      <c r="X3" s="3"/>
      <c r="Y3" s="3"/>
      <c r="Z3" s="1"/>
      <c r="AA3" s="1"/>
    </row>
    <row r="4" customFormat="false" ht="15" hidden="false" customHeight="false" outlineLevel="0" collapsed="false">
      <c r="A4" s="1"/>
      <c r="B4" s="6" t="s">
        <v>9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customFormat="false" ht="15" hidden="false" customHeight="false" outlineLevel="0" collapsed="false">
      <c r="A5" s="1"/>
      <c r="B5" s="1"/>
      <c r="C5" s="1"/>
      <c r="D5" s="7" t="s">
        <v>10</v>
      </c>
      <c r="E5" s="8" t="n">
        <f aca="false">IFERROR((YEAR(MAX(Expenses!A5:A41))-YEAR(MIN(Expenses!A5:A41)))*12+MONTH(MAX(Expenses!A5:A41))-MONTH(MIN(Expenses!A5:A41))+1,1)</f>
        <v>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customFormat="false" ht="15" hidden="false" customHeight="false" outlineLevel="0" collapsed="false">
      <c r="A7" s="1"/>
      <c r="B7" s="9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9" t="s">
        <v>12</v>
      </c>
      <c r="S7" s="1"/>
      <c r="T7" s="1"/>
      <c r="U7" s="1"/>
      <c r="V7" s="1"/>
      <c r="W7" s="1"/>
      <c r="X7" s="1"/>
      <c r="Y7" s="1"/>
      <c r="Z7" s="1"/>
      <c r="AA7" s="1"/>
    </row>
    <row r="8" customFormat="false" ht="15" hidden="false" customHeight="false" outlineLevel="0" collapsed="false">
      <c r="A8" s="1"/>
      <c r="B8" s="10" t="s">
        <v>13</v>
      </c>
      <c r="C8" s="10" t="s">
        <v>14</v>
      </c>
      <c r="D8" s="10" t="s">
        <v>15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0"/>
      <c r="S8" s="10" t="s">
        <v>14</v>
      </c>
      <c r="T8" s="10" t="s">
        <v>15</v>
      </c>
      <c r="U8" s="10" t="s">
        <v>16</v>
      </c>
      <c r="V8" s="1"/>
      <c r="W8" s="1"/>
      <c r="X8" s="1"/>
      <c r="Y8" s="1"/>
      <c r="Z8" s="1"/>
      <c r="AA8" s="1"/>
    </row>
    <row r="9" customFormat="false" ht="15" hidden="false" customHeight="false" outlineLevel="0" collapsed="false">
      <c r="A9" s="1"/>
      <c r="B9" s="11" t="s">
        <v>17</v>
      </c>
      <c r="C9" s="12" t="n">
        <f aca="false">SUMIFS(Expenses!$D:$D,Expenses!$B:$B,B9)</f>
        <v>16180</v>
      </c>
      <c r="D9" s="12" t="n">
        <f aca="false">IFERROR(INDEX(Budget!$B$12:$B$17,MATCH(B9,Budget!$A$12:$A$17,0))*$E$5,0)</f>
        <v>19500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3" t="s">
        <v>18</v>
      </c>
      <c r="S9" s="14"/>
      <c r="T9" s="14"/>
      <c r="U9" s="14"/>
      <c r="V9" s="1"/>
      <c r="W9" s="1"/>
      <c r="X9" s="1"/>
      <c r="Y9" s="1"/>
      <c r="Z9" s="1"/>
      <c r="AA9" s="1"/>
    </row>
    <row r="10" customFormat="false" ht="15" hidden="false" customHeight="false" outlineLevel="0" collapsed="false">
      <c r="A10" s="1"/>
      <c r="B10" s="11" t="s">
        <v>19</v>
      </c>
      <c r="C10" s="12" t="n">
        <f aca="false">SUMIFS(Expenses!$D:$D,Expenses!$B:$B,B10)</f>
        <v>770</v>
      </c>
      <c r="D10" s="12" t="n">
        <f aca="false">IFERROR(INDEX(Budget!$B$12:$B$17,MATCH(B10,Budget!$A$12:$A$17,0))*$E$5,0)</f>
        <v>3000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1" t="s">
        <v>20</v>
      </c>
      <c r="S10" s="12" t="n">
        <f aca="false">SUMIFS(Income!$D:$D,Income!$B:$B,"Salary")</f>
        <v>54500</v>
      </c>
      <c r="T10" s="12" t="n">
        <f aca="false">IFERROR(INDEX(Budget!$B$6:$B$8,MATCH("Salary",Budget!$A$6:$A$8,0))*$E$5,0)</f>
        <v>54000</v>
      </c>
      <c r="U10" s="12" t="n">
        <f aca="false">S10-T10</f>
        <v>500</v>
      </c>
      <c r="V10" s="1"/>
      <c r="W10" s="1"/>
      <c r="X10" s="1"/>
      <c r="Y10" s="1"/>
      <c r="Z10" s="1"/>
      <c r="AA10" s="1"/>
    </row>
    <row r="11" customFormat="false" ht="15" hidden="false" customHeight="false" outlineLevel="0" collapsed="false">
      <c r="A11" s="1"/>
      <c r="B11" s="11" t="s">
        <v>21</v>
      </c>
      <c r="C11" s="12" t="n">
        <f aca="false">SUMIFS(Expenses!$D:$D,Expenses!$B:$B,B11)</f>
        <v>1000</v>
      </c>
      <c r="D11" s="12" t="n">
        <f aca="false">IFERROR(INDEX(Budget!$B$12:$B$17,MATCH(B11,Budget!$A$12:$A$17,0))*$E$5,0)</f>
        <v>3600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1" t="s">
        <v>22</v>
      </c>
      <c r="S11" s="12" t="n">
        <f aca="false">SUMIFS(Income!$D:$D,Income!$B:$B,"Interest")</f>
        <v>120</v>
      </c>
      <c r="T11" s="12" t="n">
        <f aca="false">IFERROR(INDEX(Budget!$B$6:$B$8,MATCH("Interest",Budget!$A$6:$A$8,0))*$E$5,0)</f>
        <v>300</v>
      </c>
      <c r="U11" s="12" t="n">
        <f aca="false">S11-T11</f>
        <v>-180</v>
      </c>
      <c r="V11" s="1"/>
      <c r="W11" s="1"/>
      <c r="X11" s="1"/>
      <c r="Y11" s="1"/>
      <c r="Z11" s="1"/>
      <c r="AA11" s="1"/>
    </row>
    <row r="12" customFormat="false" ht="15" hidden="false" customHeight="false" outlineLevel="0" collapsed="false">
      <c r="A12" s="1"/>
      <c r="B12" s="11" t="s">
        <v>23</v>
      </c>
      <c r="C12" s="12" t="n">
        <f aca="false">SUMIFS(Expenses!$D:$D,Expenses!$B:$B,B12)</f>
        <v>1799</v>
      </c>
      <c r="D12" s="12" t="n">
        <f aca="false">IFERROR(INDEX(Budget!$B$12:$B$17,MATCH(B12,Budget!$A$12:$A$17,0))*$E$5,0)</f>
        <v>4500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1" t="s">
        <v>24</v>
      </c>
      <c r="S12" s="12" t="n">
        <f aca="false">SUMIFS(Income!$D:$D,Income!$B:$B,"Dividends")</f>
        <v>450</v>
      </c>
      <c r="T12" s="12" t="n">
        <f aca="false">IFERROR(INDEX(Budget!$B$6:$B$8,MATCH("Dividends",Budget!$A$6:$A$8,0))*$E$5,0)</f>
        <v>1200</v>
      </c>
      <c r="U12" s="12" t="n">
        <f aca="false">S12-T12</f>
        <v>-750</v>
      </c>
      <c r="V12" s="1"/>
      <c r="W12" s="1"/>
      <c r="X12" s="1"/>
      <c r="Y12" s="1"/>
      <c r="Z12" s="1"/>
      <c r="AA12" s="1"/>
    </row>
    <row r="13" customFormat="false" ht="15" hidden="false" customHeight="false" outlineLevel="0" collapsed="false">
      <c r="A13" s="1"/>
      <c r="B13" s="11" t="s">
        <v>25</v>
      </c>
      <c r="C13" s="12" t="n">
        <f aca="false">SUMIFS(Expenses!$D:$D,Expenses!$B:$B,B13)</f>
        <v>620</v>
      </c>
      <c r="D13" s="12" t="n">
        <f aca="false">IFERROR(INDEX(Budget!$B$12:$B$17,MATCH(B13,Budget!$A$12:$A$17,0))*$E$5,0)</f>
        <v>2400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5" t="s">
        <v>26</v>
      </c>
      <c r="S13" s="16" t="n">
        <f aca="false">SUM(S10:S12)</f>
        <v>55070</v>
      </c>
      <c r="T13" s="16" t="n">
        <f aca="false">SUM(T10:T12)</f>
        <v>55500</v>
      </c>
      <c r="U13" s="16" t="n">
        <f aca="false">S13-T13</f>
        <v>-430</v>
      </c>
      <c r="V13" s="1"/>
      <c r="W13" s="1"/>
      <c r="X13" s="1"/>
      <c r="Y13" s="1"/>
      <c r="Z13" s="1"/>
      <c r="AA13" s="1"/>
    </row>
    <row r="14" customFormat="false" ht="15" hidden="false" customHeight="false" outlineLevel="0" collapsed="false">
      <c r="A14" s="1"/>
      <c r="B14" s="11" t="s">
        <v>27</v>
      </c>
      <c r="C14" s="12" t="n">
        <f aca="false">SUMIFS(Expenses!$D:$D,Expenses!$B:$B,B14)</f>
        <v>300</v>
      </c>
      <c r="D14" s="12" t="n">
        <f aca="false">IFERROR(INDEX(Budget!$B$12:$B$17,MATCH(B14,Budget!$A$12:$A$17,0))*$E$5,0)</f>
        <v>1200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7" t="s">
        <v>28</v>
      </c>
      <c r="S15" s="18"/>
      <c r="T15" s="18"/>
      <c r="U15" s="18"/>
      <c r="V15" s="1"/>
      <c r="W15" s="1"/>
      <c r="X15" s="1"/>
      <c r="Y15" s="1"/>
      <c r="Z15" s="1"/>
      <c r="AA15" s="1"/>
    </row>
    <row r="16" customFormat="false" ht="15" hidden="false" customHeight="false" outlineLevel="0" collapsed="false">
      <c r="A16" s="1"/>
      <c r="B16" s="9" t="s">
        <v>29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1" t="s">
        <v>30</v>
      </c>
      <c r="S16" s="12" t="n">
        <f aca="false">SUMIFS(Expenses!$D:$D,Expenses!$B:$B,"Living Expenses")</f>
        <v>16180</v>
      </c>
      <c r="T16" s="12" t="n">
        <f aca="false">IFERROR(INDEX(Budget!$B$12:$B$17,MATCH("Living Expenses",Budget!$A$12:$A$17,0))*$E$5,0)</f>
        <v>19500</v>
      </c>
      <c r="U16" s="12" t="n">
        <f aca="false">S16-T16</f>
        <v>-3320</v>
      </c>
      <c r="V16" s="1"/>
      <c r="W16" s="1"/>
      <c r="X16" s="1"/>
      <c r="Y16" s="1"/>
      <c r="Z16" s="1"/>
      <c r="AA16" s="1"/>
    </row>
    <row r="17" customFormat="false" ht="15" hidden="false" customHeight="false" outlineLevel="0" collapsed="false">
      <c r="A17" s="1"/>
      <c r="B17" s="10" t="s">
        <v>31</v>
      </c>
      <c r="C17" s="10" t="s">
        <v>32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1" t="s">
        <v>33</v>
      </c>
      <c r="S17" s="12" t="n">
        <f aca="false">SUMIFS(Expenses!$D:$D,Expenses!$B:$B,"Dining Out")</f>
        <v>770</v>
      </c>
      <c r="T17" s="12" t="n">
        <f aca="false">IFERROR(INDEX(Budget!$B$12:$B$17,MATCH("Dining Out",Budget!$A$12:$A$17,0))*$E$5,0)</f>
        <v>3000</v>
      </c>
      <c r="U17" s="12" t="n">
        <f aca="false">S17-T17</f>
        <v>-2230</v>
      </c>
      <c r="V17" s="1"/>
      <c r="W17" s="1"/>
      <c r="X17" s="1"/>
      <c r="Y17" s="1"/>
      <c r="Z17" s="1"/>
      <c r="AA17" s="1"/>
    </row>
    <row r="18" customFormat="false" ht="15" hidden="false" customHeight="false" outlineLevel="0" collapsed="false">
      <c r="A18" s="1"/>
      <c r="B18" s="11" t="s">
        <v>34</v>
      </c>
      <c r="C18" s="19" t="n">
        <f aca="false">SUMIFS(Income!$D:$D,Income!$B:$B,B18)</f>
        <v>54500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1" t="s">
        <v>35</v>
      </c>
      <c r="S18" s="12" t="n">
        <f aca="false">SUMIFS(Expenses!$D:$D,Expenses!$B:$B,"Transport")</f>
        <v>1000</v>
      </c>
      <c r="T18" s="12" t="n">
        <f aca="false">IFERROR(INDEX(Budget!$B$12:$B$17,MATCH("Transport",Budget!$A$12:$A$17,0))*$E$5,0)</f>
        <v>3600</v>
      </c>
      <c r="U18" s="12" t="n">
        <f aca="false">S18-T18</f>
        <v>-2600</v>
      </c>
      <c r="V18" s="1"/>
      <c r="W18" s="1"/>
      <c r="X18" s="1"/>
      <c r="Y18" s="1"/>
      <c r="Z18" s="1"/>
      <c r="AA18" s="1"/>
    </row>
    <row r="19" customFormat="false" ht="15" hidden="false" customHeight="false" outlineLevel="0" collapsed="false">
      <c r="A19" s="1"/>
      <c r="B19" s="11" t="s">
        <v>36</v>
      </c>
      <c r="C19" s="19" t="n">
        <f aca="false">SUMIFS(Income!$D:$D,Income!$B:$B,B19)</f>
        <v>120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1" t="s">
        <v>37</v>
      </c>
      <c r="S19" s="12" t="n">
        <f aca="false">SUMIFS(Expenses!$D:$D,Expenses!$B:$B,"Discretionary")</f>
        <v>1799</v>
      </c>
      <c r="T19" s="12" t="n">
        <f aca="false">IFERROR(INDEX(Budget!$B$12:$B$17,MATCH("Discretionary",Budget!$A$12:$A$17,0))*$E$5,0)</f>
        <v>4500</v>
      </c>
      <c r="U19" s="12" t="n">
        <f aca="false">S19-T19</f>
        <v>-2701</v>
      </c>
      <c r="V19" s="1"/>
      <c r="W19" s="1"/>
      <c r="X19" s="1"/>
      <c r="Y19" s="1"/>
      <c r="Z19" s="1"/>
      <c r="AA19" s="1"/>
    </row>
    <row r="20" customFormat="false" ht="15" hidden="false" customHeight="false" outlineLevel="0" collapsed="false">
      <c r="A20" s="1"/>
      <c r="B20" s="11" t="s">
        <v>38</v>
      </c>
      <c r="C20" s="19" t="n">
        <f aca="false">SUMIFS(Income!$D:$D,Income!$B:$B,B20)</f>
        <v>450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1" t="s">
        <v>39</v>
      </c>
      <c r="S20" s="12" t="n">
        <f aca="false">SUMIFS(Expenses!$D:$D,Expenses!$B:$B,"Medical")</f>
        <v>620</v>
      </c>
      <c r="T20" s="12" t="n">
        <f aca="false">IFERROR(INDEX(Budget!$B$12:$B$17,MATCH("Medical",Budget!$A$12:$A$17,0))*$E$5,0)</f>
        <v>2400</v>
      </c>
      <c r="U20" s="12" t="n">
        <f aca="false">S20-T20</f>
        <v>-1780</v>
      </c>
      <c r="V20" s="1"/>
      <c r="W20" s="1"/>
      <c r="X20" s="1"/>
      <c r="Y20" s="1"/>
      <c r="Z20" s="1"/>
      <c r="AA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1" t="s">
        <v>40</v>
      </c>
      <c r="S21" s="12" t="n">
        <f aca="false">SUMIFS(Expenses!$D:$D,Expenses!$B:$B,"Charity")</f>
        <v>300</v>
      </c>
      <c r="T21" s="12" t="n">
        <f aca="false">IFERROR(INDEX(Budget!$B$12:$B$17,MATCH("Charity",Budget!$A$12:$A$17,0))*$E$5,0)</f>
        <v>1200</v>
      </c>
      <c r="U21" s="12" t="n">
        <f aca="false">S21-T21</f>
        <v>-900</v>
      </c>
      <c r="V21" s="1"/>
      <c r="W21" s="1"/>
      <c r="X21" s="1"/>
      <c r="Y21" s="1"/>
      <c r="Z21" s="1"/>
      <c r="AA21" s="1"/>
    </row>
    <row r="22" customFormat="false" ht="15" hidden="false" customHeight="false" outlineLevel="0" collapsed="false">
      <c r="A22" s="1"/>
      <c r="B22" s="9" t="s">
        <v>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5" t="s">
        <v>42</v>
      </c>
      <c r="S22" s="16" t="n">
        <f aca="false">SUM(S16:S21)</f>
        <v>20669</v>
      </c>
      <c r="T22" s="16" t="n">
        <f aca="false">SUM(T16:T21)</f>
        <v>34200</v>
      </c>
      <c r="U22" s="16" t="n">
        <f aca="false">S22-T22</f>
        <v>-13531</v>
      </c>
      <c r="V22" s="1"/>
      <c r="W22" s="1"/>
      <c r="X22" s="1"/>
      <c r="Y22" s="1"/>
      <c r="Z22" s="1"/>
      <c r="AA22" s="1"/>
    </row>
    <row r="23" customFormat="false" ht="15" hidden="false" customHeight="false" outlineLevel="0" collapsed="false">
      <c r="A23" s="1"/>
      <c r="B23" s="10" t="s">
        <v>43</v>
      </c>
      <c r="C23" s="10" t="s">
        <v>18</v>
      </c>
      <c r="D23" s="10" t="s">
        <v>44</v>
      </c>
      <c r="E23" s="10" t="s">
        <v>45</v>
      </c>
      <c r="F23" s="10" t="s">
        <v>46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customFormat="false" ht="15" hidden="false" customHeight="false" outlineLevel="0" collapsed="false">
      <c r="A24" s="1"/>
      <c r="B24" s="11" t="s">
        <v>47</v>
      </c>
      <c r="C24" s="12" t="n">
        <f aca="false">SUMPRODUCT((MONTH(Income!$A$5:$A$29)=1)*(YEAR(Income!$A$5:$A$29)=2026)*Income!$D$5:$D$29)</f>
        <v>18120</v>
      </c>
      <c r="D24" s="12" t="n">
        <f aca="false">SUM(Budget!$B$6:$B$8)</f>
        <v>18500</v>
      </c>
      <c r="E24" s="12" t="n">
        <f aca="false">SUMPRODUCT((MONTH(Expenses!$A$5:$A$41)=1)*(YEAR(Expenses!$A$5:$A$41)=2026)*Expenses!$D$5:$D$41)</f>
        <v>8230</v>
      </c>
      <c r="F24" s="12" t="n">
        <f aca="false">SUM(Budget!$B$12:$B$17)</f>
        <v>11400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20" t="s">
        <v>48</v>
      </c>
      <c r="S24" s="21" t="n">
        <f aca="false">S13-S22</f>
        <v>34401</v>
      </c>
      <c r="T24" s="21" t="n">
        <f aca="false">T13-T22</f>
        <v>21300</v>
      </c>
      <c r="U24" s="21" t="n">
        <f aca="false">S24-T24</f>
        <v>13101</v>
      </c>
      <c r="V24" s="1"/>
      <c r="W24" s="1"/>
      <c r="X24" s="1"/>
      <c r="Y24" s="1"/>
      <c r="Z24" s="1"/>
      <c r="AA24" s="1"/>
    </row>
    <row r="25" customFormat="false" ht="15" hidden="false" customHeight="false" outlineLevel="0" collapsed="false">
      <c r="A25" s="1"/>
      <c r="B25" s="11" t="s">
        <v>49</v>
      </c>
      <c r="C25" s="12" t="n">
        <f aca="false">SUMPRODUCT((MONTH(Income!$A$5:$A$29)=2)*(YEAR(Income!$A$5:$A$29)=2026)*Income!$D$5:$D$29)</f>
        <v>18450</v>
      </c>
      <c r="D25" s="12" t="n">
        <f aca="false">SUM(Budget!$B$6:$B$8)</f>
        <v>18500</v>
      </c>
      <c r="E25" s="12" t="n">
        <f aca="false">SUMPRODUCT((MONTH(Expenses!$A$5:$A$41)=2)*(YEAR(Expenses!$A$5:$A$41)=2026)*Expenses!$D$5:$D$41)</f>
        <v>6890</v>
      </c>
      <c r="F25" s="12" t="n">
        <f aca="false">SUM(Budget!$B$12:$B$17)</f>
        <v>11400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customFormat="false" ht="15" hidden="false" customHeight="false" outlineLevel="0" collapsed="false">
      <c r="A26" s="1"/>
      <c r="B26" s="11" t="s">
        <v>50</v>
      </c>
      <c r="C26" s="12" t="n">
        <f aca="false">SUMPRODUCT((MONTH(Income!$A$5:$A$29)=3)*(YEAR(Income!$A$5:$A$29)=2026)*Income!$D$5:$D$29)</f>
        <v>18500</v>
      </c>
      <c r="D26" s="12" t="n">
        <f aca="false">SUM(Budget!$B$6:$B$8)</f>
        <v>18500</v>
      </c>
      <c r="E26" s="12" t="n">
        <f aca="false">SUMPRODUCT((MONTH(Expenses!$A$5:$A$41)=3)*(YEAR(Expenses!$A$5:$A$41)=2026)*Expenses!$D$5:$D$41)</f>
        <v>5549</v>
      </c>
      <c r="F26" s="12" t="n">
        <f aca="false">SUM(Budget!$B$12:$B$17)</f>
        <v>11400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</sheetData>
  <mergeCells count="17">
    <mergeCell ref="B2:E3"/>
    <mergeCell ref="H2:I2"/>
    <mergeCell ref="J2:K2"/>
    <mergeCell ref="L2:M2"/>
    <mergeCell ref="N2:O2"/>
    <mergeCell ref="P2:Q2"/>
    <mergeCell ref="R2:S2"/>
    <mergeCell ref="T2:U2"/>
    <mergeCell ref="V2:W2"/>
    <mergeCell ref="H3:I3"/>
    <mergeCell ref="J3:K3"/>
    <mergeCell ref="L3:M3"/>
    <mergeCell ref="N3:O3"/>
    <mergeCell ref="P3:Q3"/>
    <mergeCell ref="R3:S3"/>
    <mergeCell ref="T3:U3"/>
    <mergeCell ref="V3:W3"/>
  </mergeCells>
  <conditionalFormatting sqref="U10:U2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E9B76"/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14"/>
  </cols>
  <sheetData>
    <row r="1" customFormat="false" ht="24.45" hidden="false" customHeight="false" outlineLevel="0" collapsed="false">
      <c r="A1" s="22" t="s">
        <v>51</v>
      </c>
    </row>
    <row r="2" customFormat="false" ht="15" hidden="false" customHeight="false" outlineLevel="0" collapsed="false">
      <c r="A2" s="23" t="s">
        <v>52</v>
      </c>
    </row>
    <row r="4" customFormat="false" ht="15" hidden="false" customHeight="false" outlineLevel="0" collapsed="false">
      <c r="A4" s="10" t="s">
        <v>53</v>
      </c>
      <c r="B4" s="10" t="s">
        <v>31</v>
      </c>
      <c r="C4" s="10" t="s">
        <v>54</v>
      </c>
      <c r="D4" s="10" t="s">
        <v>32</v>
      </c>
    </row>
    <row r="5" customFormat="false" ht="15" hidden="false" customHeight="false" outlineLevel="0" collapsed="false">
      <c r="A5" s="24" t="n">
        <v>46037</v>
      </c>
      <c r="B5" s="25" t="s">
        <v>34</v>
      </c>
      <c r="C5" s="25" t="s">
        <v>55</v>
      </c>
      <c r="D5" s="26" t="n">
        <v>18000</v>
      </c>
    </row>
    <row r="6" customFormat="false" ht="15" hidden="false" customHeight="false" outlineLevel="0" collapsed="false">
      <c r="A6" s="24" t="n">
        <v>46053</v>
      </c>
      <c r="B6" s="25" t="s">
        <v>36</v>
      </c>
      <c r="C6" s="25" t="s">
        <v>56</v>
      </c>
      <c r="D6" s="26" t="n">
        <v>120</v>
      </c>
    </row>
    <row r="7" customFormat="false" ht="15" hidden="false" customHeight="false" outlineLevel="0" collapsed="false">
      <c r="A7" s="24" t="n">
        <v>46068</v>
      </c>
      <c r="B7" s="25" t="s">
        <v>34</v>
      </c>
      <c r="C7" s="25" t="s">
        <v>55</v>
      </c>
      <c r="D7" s="26" t="n">
        <v>18000</v>
      </c>
    </row>
    <row r="8" customFormat="false" ht="15" hidden="false" customHeight="false" outlineLevel="0" collapsed="false">
      <c r="A8" s="24" t="n">
        <v>46081</v>
      </c>
      <c r="B8" s="25" t="s">
        <v>38</v>
      </c>
      <c r="C8" s="25" t="s">
        <v>57</v>
      </c>
      <c r="D8" s="26" t="n">
        <v>450</v>
      </c>
    </row>
    <row r="9" customFormat="false" ht="15" hidden="false" customHeight="false" outlineLevel="0" collapsed="false">
      <c r="A9" s="24" t="n">
        <v>46096</v>
      </c>
      <c r="B9" s="25" t="s">
        <v>34</v>
      </c>
      <c r="C9" s="25" t="s">
        <v>55</v>
      </c>
      <c r="D9" s="26" t="n">
        <v>18500</v>
      </c>
    </row>
    <row r="10" customFormat="false" ht="15" hidden="false" customHeight="false" outlineLevel="0" collapsed="false">
      <c r="A10" s="27"/>
      <c r="B10" s="28"/>
      <c r="C10" s="28"/>
      <c r="D10" s="29"/>
    </row>
    <row r="11" customFormat="false" ht="15" hidden="false" customHeight="false" outlineLevel="0" collapsed="false">
      <c r="A11" s="27"/>
      <c r="B11" s="28"/>
      <c r="C11" s="28"/>
      <c r="D11" s="29"/>
    </row>
    <row r="12" customFormat="false" ht="15" hidden="false" customHeight="false" outlineLevel="0" collapsed="false">
      <c r="A12" s="27"/>
      <c r="B12" s="28"/>
      <c r="C12" s="28"/>
      <c r="D12" s="29"/>
    </row>
    <row r="13" customFormat="false" ht="15" hidden="false" customHeight="false" outlineLevel="0" collapsed="false">
      <c r="A13" s="27"/>
      <c r="B13" s="28"/>
      <c r="C13" s="28"/>
      <c r="D13" s="29"/>
    </row>
    <row r="14" customFormat="false" ht="15" hidden="false" customHeight="false" outlineLevel="0" collapsed="false">
      <c r="A14" s="27"/>
      <c r="B14" s="28"/>
      <c r="C14" s="28"/>
      <c r="D14" s="29"/>
    </row>
    <row r="15" customFormat="false" ht="15" hidden="false" customHeight="false" outlineLevel="0" collapsed="false">
      <c r="A15" s="27"/>
      <c r="B15" s="28"/>
      <c r="C15" s="28"/>
      <c r="D15" s="29"/>
    </row>
    <row r="16" customFormat="false" ht="15" hidden="false" customHeight="false" outlineLevel="0" collapsed="false">
      <c r="A16" s="27"/>
      <c r="B16" s="28"/>
      <c r="C16" s="28"/>
      <c r="D16" s="29"/>
    </row>
    <row r="17" customFormat="false" ht="15" hidden="false" customHeight="false" outlineLevel="0" collapsed="false">
      <c r="A17" s="27"/>
      <c r="B17" s="28"/>
      <c r="C17" s="28"/>
      <c r="D17" s="29"/>
    </row>
    <row r="18" customFormat="false" ht="15" hidden="false" customHeight="false" outlineLevel="0" collapsed="false">
      <c r="A18" s="27"/>
      <c r="B18" s="28"/>
      <c r="C18" s="28"/>
      <c r="D18" s="29"/>
    </row>
    <row r="19" customFormat="false" ht="15" hidden="false" customHeight="false" outlineLevel="0" collapsed="false">
      <c r="A19" s="27"/>
      <c r="B19" s="28"/>
      <c r="C19" s="28"/>
      <c r="D19" s="29"/>
    </row>
    <row r="20" customFormat="false" ht="15" hidden="false" customHeight="false" outlineLevel="0" collapsed="false">
      <c r="A20" s="27"/>
      <c r="B20" s="28"/>
      <c r="C20" s="28"/>
      <c r="D20" s="29"/>
    </row>
    <row r="21" customFormat="false" ht="15" hidden="false" customHeight="false" outlineLevel="0" collapsed="false">
      <c r="A21" s="27"/>
      <c r="B21" s="28"/>
      <c r="C21" s="28"/>
      <c r="D21" s="29"/>
    </row>
    <row r="22" customFormat="false" ht="15" hidden="false" customHeight="false" outlineLevel="0" collapsed="false">
      <c r="A22" s="27"/>
      <c r="B22" s="28"/>
      <c r="C22" s="28"/>
      <c r="D22" s="29"/>
    </row>
    <row r="23" customFormat="false" ht="15" hidden="false" customHeight="false" outlineLevel="0" collapsed="false">
      <c r="A23" s="27"/>
      <c r="B23" s="28"/>
      <c r="C23" s="28"/>
      <c r="D23" s="29"/>
    </row>
    <row r="24" customFormat="false" ht="15" hidden="false" customHeight="false" outlineLevel="0" collapsed="false">
      <c r="A24" s="27"/>
      <c r="B24" s="28"/>
      <c r="C24" s="28"/>
      <c r="D24" s="29"/>
    </row>
    <row r="25" customFormat="false" ht="15" hidden="false" customHeight="false" outlineLevel="0" collapsed="false">
      <c r="A25" s="27"/>
      <c r="B25" s="28"/>
      <c r="C25" s="28"/>
      <c r="D25" s="29"/>
    </row>
    <row r="26" customFormat="false" ht="15" hidden="false" customHeight="false" outlineLevel="0" collapsed="false">
      <c r="A26" s="27"/>
      <c r="B26" s="28"/>
      <c r="C26" s="28"/>
      <c r="D26" s="29"/>
    </row>
    <row r="27" customFormat="false" ht="15" hidden="false" customHeight="false" outlineLevel="0" collapsed="false">
      <c r="A27" s="27"/>
      <c r="B27" s="28"/>
      <c r="C27" s="28"/>
      <c r="D27" s="29"/>
    </row>
    <row r="28" customFormat="false" ht="15" hidden="false" customHeight="false" outlineLevel="0" collapsed="false">
      <c r="A28" s="27"/>
      <c r="B28" s="28"/>
      <c r="C28" s="28"/>
      <c r="D28" s="29"/>
    </row>
    <row r="29" customFormat="false" ht="15" hidden="false" customHeight="false" outlineLevel="0" collapsed="false">
      <c r="A29" s="27"/>
      <c r="B29" s="28"/>
      <c r="C29" s="28"/>
      <c r="D29" s="29"/>
    </row>
  </sheetData>
  <dataValidations count="1">
    <dataValidation allowBlank="true" errorStyle="stop" operator="between" showDropDown="false" showErrorMessage="false" showInputMessage="false" sqref="B5:B29" type="list">
      <formula1>"Salary,Interest,Dividends"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87C"/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8"/>
    <col collapsed="false" customWidth="true" hidden="false" outlineLevel="0" max="4" min="4" style="0" width="14"/>
    <col collapsed="false" customWidth="true" hidden="false" outlineLevel="0" max="5" min="5" style="0" width="17"/>
  </cols>
  <sheetData>
    <row r="1" customFormat="false" ht="24.45" hidden="false" customHeight="false" outlineLevel="0" collapsed="false">
      <c r="A1" s="22" t="s">
        <v>58</v>
      </c>
    </row>
    <row r="2" customFormat="false" ht="15" hidden="false" customHeight="false" outlineLevel="0" collapsed="false">
      <c r="A2" s="23" t="s">
        <v>59</v>
      </c>
    </row>
    <row r="4" customFormat="false" ht="15" hidden="false" customHeight="false" outlineLevel="0" collapsed="false">
      <c r="A4" s="10" t="s">
        <v>53</v>
      </c>
      <c r="B4" s="10" t="s">
        <v>13</v>
      </c>
      <c r="C4" s="10" t="s">
        <v>54</v>
      </c>
      <c r="D4" s="10" t="s">
        <v>32</v>
      </c>
      <c r="E4" s="10" t="s">
        <v>60</v>
      </c>
    </row>
    <row r="5" customFormat="false" ht="15" hidden="false" customHeight="false" outlineLevel="0" collapsed="false">
      <c r="A5" s="24" t="n">
        <v>46027</v>
      </c>
      <c r="B5" s="25" t="s">
        <v>17</v>
      </c>
      <c r="C5" s="25" t="s">
        <v>61</v>
      </c>
      <c r="D5" s="26" t="n">
        <v>5000</v>
      </c>
      <c r="E5" s="25" t="s">
        <v>62</v>
      </c>
    </row>
    <row r="6" customFormat="false" ht="15" hidden="false" customHeight="false" outlineLevel="0" collapsed="false">
      <c r="A6" s="24" t="n">
        <v>46030</v>
      </c>
      <c r="B6" s="25" t="s">
        <v>17</v>
      </c>
      <c r="C6" s="25" t="s">
        <v>63</v>
      </c>
      <c r="D6" s="26" t="n">
        <v>1180</v>
      </c>
      <c r="E6" s="25" t="s">
        <v>62</v>
      </c>
    </row>
    <row r="7" customFormat="false" ht="15" hidden="false" customHeight="false" outlineLevel="0" collapsed="false">
      <c r="A7" s="24" t="n">
        <v>46034</v>
      </c>
      <c r="B7" s="25" t="s">
        <v>19</v>
      </c>
      <c r="C7" s="25" t="s">
        <v>64</v>
      </c>
      <c r="D7" s="26" t="n">
        <v>320</v>
      </c>
      <c r="E7" s="25" t="s">
        <v>65</v>
      </c>
    </row>
    <row r="8" customFormat="false" ht="15" hidden="false" customHeight="false" outlineLevel="0" collapsed="false">
      <c r="A8" s="24" t="n">
        <v>46040</v>
      </c>
      <c r="B8" s="25" t="s">
        <v>21</v>
      </c>
      <c r="C8" s="25" t="s">
        <v>66</v>
      </c>
      <c r="D8" s="26" t="n">
        <v>480</v>
      </c>
      <c r="E8" s="25" t="s">
        <v>67</v>
      </c>
    </row>
    <row r="9" customFormat="false" ht="15" hidden="false" customHeight="false" outlineLevel="0" collapsed="false">
      <c r="A9" s="24" t="n">
        <v>46044</v>
      </c>
      <c r="B9" s="25" t="s">
        <v>23</v>
      </c>
      <c r="C9" s="25" t="s">
        <v>68</v>
      </c>
      <c r="D9" s="26" t="n">
        <v>1250</v>
      </c>
      <c r="E9" s="25" t="s">
        <v>67</v>
      </c>
    </row>
    <row r="10" customFormat="false" ht="15" hidden="false" customHeight="false" outlineLevel="0" collapsed="false">
      <c r="A10" s="24" t="n">
        <v>46058</v>
      </c>
      <c r="B10" s="25" t="s">
        <v>17</v>
      </c>
      <c r="C10" s="25" t="s">
        <v>61</v>
      </c>
      <c r="D10" s="26" t="n">
        <v>5000</v>
      </c>
      <c r="E10" s="25" t="s">
        <v>62</v>
      </c>
    </row>
    <row r="11" customFormat="false" ht="15" hidden="false" customHeight="false" outlineLevel="0" collapsed="false">
      <c r="A11" s="24" t="n">
        <v>46063</v>
      </c>
      <c r="B11" s="25" t="s">
        <v>25</v>
      </c>
      <c r="C11" s="25" t="s">
        <v>69</v>
      </c>
      <c r="D11" s="26" t="n">
        <v>620</v>
      </c>
      <c r="E11" s="25" t="s">
        <v>65</v>
      </c>
    </row>
    <row r="12" customFormat="false" ht="15" hidden="false" customHeight="false" outlineLevel="0" collapsed="false">
      <c r="A12" s="24" t="n">
        <v>46069</v>
      </c>
      <c r="B12" s="25" t="s">
        <v>19</v>
      </c>
      <c r="C12" s="25" t="s">
        <v>70</v>
      </c>
      <c r="D12" s="26" t="n">
        <v>450</v>
      </c>
      <c r="E12" s="25" t="s">
        <v>67</v>
      </c>
    </row>
    <row r="13" customFormat="false" ht="15" hidden="false" customHeight="false" outlineLevel="0" collapsed="false">
      <c r="A13" s="24" t="n">
        <v>46073</v>
      </c>
      <c r="B13" s="25" t="s">
        <v>21</v>
      </c>
      <c r="C13" s="25" t="s">
        <v>66</v>
      </c>
      <c r="D13" s="26" t="n">
        <v>520</v>
      </c>
      <c r="E13" s="25" t="s">
        <v>67</v>
      </c>
    </row>
    <row r="14" customFormat="false" ht="15" hidden="false" customHeight="false" outlineLevel="0" collapsed="false">
      <c r="A14" s="24" t="n">
        <v>46078</v>
      </c>
      <c r="B14" s="25" t="s">
        <v>27</v>
      </c>
      <c r="C14" s="25" t="s">
        <v>71</v>
      </c>
      <c r="D14" s="26" t="n">
        <v>300</v>
      </c>
      <c r="E14" s="25" t="s">
        <v>65</v>
      </c>
    </row>
    <row r="15" customFormat="false" ht="15" hidden="false" customHeight="false" outlineLevel="0" collapsed="false">
      <c r="A15" s="24" t="n">
        <v>46086</v>
      </c>
      <c r="B15" s="25" t="s">
        <v>17</v>
      </c>
      <c r="C15" s="25" t="s">
        <v>61</v>
      </c>
      <c r="D15" s="26" t="n">
        <v>5000</v>
      </c>
      <c r="E15" s="25" t="s">
        <v>62</v>
      </c>
    </row>
    <row r="16" customFormat="false" ht="15" hidden="false" customHeight="false" outlineLevel="0" collapsed="false">
      <c r="A16" s="24" t="n">
        <v>46092</v>
      </c>
      <c r="B16" s="25" t="s">
        <v>23</v>
      </c>
      <c r="C16" s="25" t="s">
        <v>72</v>
      </c>
      <c r="D16" s="26" t="n">
        <v>549</v>
      </c>
      <c r="E16" s="25" t="s">
        <v>67</v>
      </c>
    </row>
    <row r="17" customFormat="false" ht="15" hidden="false" customHeight="false" outlineLevel="0" collapsed="false">
      <c r="A17" s="27"/>
      <c r="B17" s="28"/>
      <c r="C17" s="28"/>
      <c r="D17" s="29"/>
      <c r="E17" s="28"/>
    </row>
    <row r="18" customFormat="false" ht="15" hidden="false" customHeight="false" outlineLevel="0" collapsed="false">
      <c r="A18" s="27"/>
      <c r="B18" s="28"/>
      <c r="C18" s="28"/>
      <c r="D18" s="29"/>
      <c r="E18" s="28"/>
    </row>
    <row r="19" customFormat="false" ht="15" hidden="false" customHeight="false" outlineLevel="0" collapsed="false">
      <c r="A19" s="27"/>
      <c r="B19" s="28"/>
      <c r="C19" s="28"/>
      <c r="D19" s="29"/>
      <c r="E19" s="28"/>
    </row>
    <row r="20" customFormat="false" ht="15" hidden="false" customHeight="false" outlineLevel="0" collapsed="false">
      <c r="A20" s="27"/>
      <c r="B20" s="28"/>
      <c r="C20" s="28"/>
      <c r="D20" s="29"/>
      <c r="E20" s="28"/>
    </row>
    <row r="21" customFormat="false" ht="15" hidden="false" customHeight="false" outlineLevel="0" collapsed="false">
      <c r="A21" s="27"/>
      <c r="B21" s="28"/>
      <c r="C21" s="28"/>
      <c r="D21" s="29"/>
      <c r="E21" s="28"/>
    </row>
    <row r="22" customFormat="false" ht="15" hidden="false" customHeight="false" outlineLevel="0" collapsed="false">
      <c r="A22" s="27"/>
      <c r="B22" s="28"/>
      <c r="C22" s="28"/>
      <c r="D22" s="29"/>
      <c r="E22" s="28"/>
    </row>
    <row r="23" customFormat="false" ht="15" hidden="false" customHeight="false" outlineLevel="0" collapsed="false">
      <c r="A23" s="27"/>
      <c r="B23" s="28"/>
      <c r="C23" s="28"/>
      <c r="D23" s="29"/>
      <c r="E23" s="28"/>
    </row>
    <row r="24" customFormat="false" ht="15" hidden="false" customHeight="false" outlineLevel="0" collapsed="false">
      <c r="A24" s="27"/>
      <c r="B24" s="28"/>
      <c r="C24" s="28"/>
      <c r="D24" s="29"/>
      <c r="E24" s="28"/>
    </row>
    <row r="25" customFormat="false" ht="15" hidden="false" customHeight="false" outlineLevel="0" collapsed="false">
      <c r="A25" s="27"/>
      <c r="B25" s="28"/>
      <c r="C25" s="28"/>
      <c r="D25" s="29"/>
      <c r="E25" s="28"/>
    </row>
    <row r="26" customFormat="false" ht="15" hidden="false" customHeight="false" outlineLevel="0" collapsed="false">
      <c r="A26" s="27"/>
      <c r="B26" s="28"/>
      <c r="C26" s="28"/>
      <c r="D26" s="29"/>
      <c r="E26" s="28"/>
    </row>
    <row r="27" customFormat="false" ht="15" hidden="false" customHeight="false" outlineLevel="0" collapsed="false">
      <c r="A27" s="27"/>
      <c r="B27" s="28"/>
      <c r="C27" s="28"/>
      <c r="D27" s="29"/>
      <c r="E27" s="28"/>
    </row>
    <row r="28" customFormat="false" ht="15" hidden="false" customHeight="false" outlineLevel="0" collapsed="false">
      <c r="A28" s="27"/>
      <c r="B28" s="28"/>
      <c r="C28" s="28"/>
      <c r="D28" s="29"/>
      <c r="E28" s="28"/>
    </row>
    <row r="29" customFormat="false" ht="15" hidden="false" customHeight="false" outlineLevel="0" collapsed="false">
      <c r="A29" s="27"/>
      <c r="B29" s="28"/>
      <c r="C29" s="28"/>
      <c r="D29" s="29"/>
      <c r="E29" s="28"/>
    </row>
    <row r="30" customFormat="false" ht="15" hidden="false" customHeight="false" outlineLevel="0" collapsed="false">
      <c r="A30" s="27"/>
      <c r="B30" s="28"/>
      <c r="C30" s="28"/>
      <c r="D30" s="29"/>
      <c r="E30" s="28"/>
    </row>
    <row r="31" customFormat="false" ht="15" hidden="false" customHeight="false" outlineLevel="0" collapsed="false">
      <c r="A31" s="27"/>
      <c r="B31" s="28"/>
      <c r="C31" s="28"/>
      <c r="D31" s="29"/>
      <c r="E31" s="28"/>
    </row>
    <row r="32" customFormat="false" ht="15" hidden="false" customHeight="false" outlineLevel="0" collapsed="false">
      <c r="A32" s="27"/>
      <c r="B32" s="28"/>
      <c r="C32" s="28"/>
      <c r="D32" s="29"/>
      <c r="E32" s="28"/>
    </row>
    <row r="33" customFormat="false" ht="15" hidden="false" customHeight="false" outlineLevel="0" collapsed="false">
      <c r="A33" s="27"/>
      <c r="B33" s="28"/>
      <c r="C33" s="28"/>
      <c r="D33" s="29"/>
      <c r="E33" s="28"/>
    </row>
    <row r="34" customFormat="false" ht="15" hidden="false" customHeight="false" outlineLevel="0" collapsed="false">
      <c r="A34" s="27"/>
      <c r="B34" s="28"/>
      <c r="C34" s="28"/>
      <c r="D34" s="29"/>
      <c r="E34" s="28"/>
    </row>
    <row r="35" customFormat="false" ht="15" hidden="false" customHeight="false" outlineLevel="0" collapsed="false">
      <c r="A35" s="27"/>
      <c r="B35" s="28"/>
      <c r="C35" s="28"/>
      <c r="D35" s="29"/>
      <c r="E35" s="28"/>
    </row>
    <row r="36" customFormat="false" ht="15" hidden="false" customHeight="false" outlineLevel="0" collapsed="false">
      <c r="A36" s="27"/>
      <c r="B36" s="28"/>
      <c r="C36" s="28"/>
      <c r="D36" s="29"/>
      <c r="E36" s="28"/>
    </row>
    <row r="37" customFormat="false" ht="15" hidden="false" customHeight="false" outlineLevel="0" collapsed="false">
      <c r="A37" s="27"/>
      <c r="B37" s="28"/>
      <c r="C37" s="28"/>
      <c r="D37" s="29"/>
      <c r="E37" s="28"/>
    </row>
    <row r="38" customFormat="false" ht="15" hidden="false" customHeight="false" outlineLevel="0" collapsed="false">
      <c r="A38" s="27"/>
      <c r="B38" s="28"/>
      <c r="C38" s="28"/>
      <c r="D38" s="29"/>
      <c r="E38" s="28"/>
    </row>
    <row r="39" customFormat="false" ht="15" hidden="false" customHeight="false" outlineLevel="0" collapsed="false">
      <c r="A39" s="27"/>
      <c r="B39" s="28"/>
      <c r="C39" s="28"/>
      <c r="D39" s="29"/>
      <c r="E39" s="28"/>
    </row>
    <row r="40" customFormat="false" ht="15" hidden="false" customHeight="false" outlineLevel="0" collapsed="false">
      <c r="A40" s="27"/>
      <c r="B40" s="28"/>
      <c r="C40" s="28"/>
      <c r="D40" s="29"/>
      <c r="E40" s="28"/>
    </row>
    <row r="41" customFormat="false" ht="15" hidden="false" customHeight="false" outlineLevel="0" collapsed="false">
      <c r="A41" s="27"/>
      <c r="B41" s="28"/>
      <c r="C41" s="28"/>
      <c r="D41" s="29"/>
      <c r="E41" s="28"/>
    </row>
  </sheetData>
  <dataValidations count="2">
    <dataValidation allowBlank="true" errorStyle="stop" operator="between" showDropDown="false" showErrorMessage="false" showInputMessage="false" sqref="B5:B41" type="list">
      <formula1>"Living Expenses,Dining Out,Transport,Discretionary,Medical,Charity"</formula1>
      <formula2>0</formula2>
    </dataValidation>
    <dataValidation allowBlank="true" errorStyle="stop" operator="between" showDropDown="false" showErrorMessage="false" showInputMessage="false" sqref="E5:E41" type="list">
      <formula1>"Cash,GCash,Bank Transfer,Credit Card,Debit Card"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</cols>
  <sheetData>
    <row r="1" customFormat="false" ht="24.45" hidden="false" customHeight="false" outlineLevel="0" collapsed="false">
      <c r="A1" s="22" t="s">
        <v>73</v>
      </c>
    </row>
    <row r="2" customFormat="false" ht="15" hidden="false" customHeight="false" outlineLevel="0" collapsed="false">
      <c r="A2" s="23" t="s">
        <v>74</v>
      </c>
    </row>
    <row r="4" customFormat="false" ht="15" hidden="false" customHeight="false" outlineLevel="0" collapsed="false">
      <c r="A4" s="30" t="s">
        <v>75</v>
      </c>
    </row>
    <row r="5" customFormat="false" ht="15" hidden="false" customHeight="false" outlineLevel="0" collapsed="false">
      <c r="A5" s="31" t="s">
        <v>31</v>
      </c>
      <c r="B5" s="31" t="s">
        <v>76</v>
      </c>
    </row>
    <row r="6" customFormat="false" ht="15" hidden="false" customHeight="false" outlineLevel="0" collapsed="false">
      <c r="A6" s="28" t="s">
        <v>34</v>
      </c>
      <c r="B6" s="26" t="n">
        <v>18000</v>
      </c>
    </row>
    <row r="7" customFormat="false" ht="15" hidden="false" customHeight="false" outlineLevel="0" collapsed="false">
      <c r="A7" s="28" t="s">
        <v>36</v>
      </c>
      <c r="B7" s="26" t="n">
        <v>100</v>
      </c>
    </row>
    <row r="8" customFormat="false" ht="15" hidden="false" customHeight="false" outlineLevel="0" collapsed="false">
      <c r="A8" s="28" t="s">
        <v>38</v>
      </c>
      <c r="B8" s="26" t="n">
        <v>400</v>
      </c>
    </row>
    <row r="10" customFormat="false" ht="15" hidden="false" customHeight="false" outlineLevel="0" collapsed="false">
      <c r="A10" s="30" t="s">
        <v>77</v>
      </c>
    </row>
    <row r="11" customFormat="false" ht="15" hidden="false" customHeight="false" outlineLevel="0" collapsed="false">
      <c r="A11" s="31" t="s">
        <v>13</v>
      </c>
      <c r="B11" s="31" t="s">
        <v>76</v>
      </c>
    </row>
    <row r="12" customFormat="false" ht="15" hidden="false" customHeight="false" outlineLevel="0" collapsed="false">
      <c r="A12" s="28" t="s">
        <v>17</v>
      </c>
      <c r="B12" s="26" t="n">
        <v>6500</v>
      </c>
    </row>
    <row r="13" customFormat="false" ht="15" hidden="false" customHeight="false" outlineLevel="0" collapsed="false">
      <c r="A13" s="28" t="s">
        <v>19</v>
      </c>
      <c r="B13" s="26" t="n">
        <v>1000</v>
      </c>
    </row>
    <row r="14" customFormat="false" ht="15" hidden="false" customHeight="false" outlineLevel="0" collapsed="false">
      <c r="A14" s="28" t="s">
        <v>21</v>
      </c>
      <c r="B14" s="26" t="n">
        <v>1200</v>
      </c>
    </row>
    <row r="15" customFormat="false" ht="15" hidden="false" customHeight="false" outlineLevel="0" collapsed="false">
      <c r="A15" s="28" t="s">
        <v>23</v>
      </c>
      <c r="B15" s="26" t="n">
        <v>1500</v>
      </c>
    </row>
    <row r="16" customFormat="false" ht="15" hidden="false" customHeight="false" outlineLevel="0" collapsed="false">
      <c r="A16" s="28" t="s">
        <v>25</v>
      </c>
      <c r="B16" s="26" t="n">
        <v>800</v>
      </c>
    </row>
    <row r="17" customFormat="false" ht="15" hidden="false" customHeight="false" outlineLevel="0" collapsed="false">
      <c r="A17" s="28" t="s">
        <v>27</v>
      </c>
      <c r="B17" s="26" t="n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2026-09-15T16:40:14Z</dcterms:created>
  <dc:creator>openpyxl</dc:creator>
  <dc:description/>
  <dc:language>en-US</dc:language>
  <cp:lastModifiedBy/>
  <dcterms:modified xsi:type="dcterms:W3CDTF">2026-09-15T16:40:16Z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