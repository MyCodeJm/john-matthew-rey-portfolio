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heet" sheetId="2" state="visible" r:id="rId4"/>
    <sheet name="Income" sheetId="3" state="visible" r:id="rId5"/>
    <sheet name="Expenses" sheetId="4" state="visible" r:id="rId6"/>
    <sheet name="Budget" sheetId="5" state="visible" r:id="rId7"/>
  </sheets>
  <definedNames>
    <definedName function="false" hidden="false" localSheetId="0" name="_xlnm.Print_Area" vbProcedure="false">Dashboard!$A$1:$Q$58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<sst xmlns="http://schemas.openxmlformats.org/spreadsheetml/2006/main" count="107" uniqueCount="52">
  <si>
    <t xml:space="preserve">My Money Dashboard</t>
  </si>
  <si>
    <t xml:space="preserve">MONEY IN</t>
  </si>
  <si>
    <t xml:space="preserve">MONEY OUT</t>
  </si>
  <si>
    <t xml:space="preserve">SAVED</t>
  </si>
  <si>
    <t xml:space="preserve">VS BUDGET</t>
  </si>
  <si>
    <t xml:space="preserve">Where the money went</t>
  </si>
  <si>
    <t xml:space="preserve">Category</t>
  </si>
  <si>
    <t xml:space="preserve">Spent</t>
  </si>
  <si>
    <t xml:space="preserve">Budget</t>
  </si>
  <si>
    <t xml:space="preserve">Left over</t>
  </si>
  <si>
    <t xml:space="preserve">% of spending</t>
  </si>
  <si>
    <t xml:space="preserve">Living Expenses</t>
  </si>
  <si>
    <t xml:space="preserve">Dining Out</t>
  </si>
  <si>
    <t xml:space="preserve">Transport</t>
  </si>
  <si>
    <t xml:space="preserve">Discretionary</t>
  </si>
  <si>
    <t xml:space="preserve">Medical</t>
  </si>
  <si>
    <t xml:space="preserve">Charity</t>
  </si>
  <si>
    <t xml:space="preserve">Total</t>
  </si>
  <si>
    <t xml:space="preserve">Month by month</t>
  </si>
  <si>
    <t xml:space="preserve">Month</t>
  </si>
  <si>
    <t xml:space="preserve">Money In</t>
  </si>
  <si>
    <t xml:space="preserve">Money Out</t>
  </si>
  <si>
    <t xml:space="preserve">Saved</t>
  </si>
  <si>
    <t xml:space="preserve">Income Log</t>
  </si>
  <si>
    <t xml:space="preserve">Add one row each time you receive money. The dashboard updates itself.</t>
  </si>
  <si>
    <t xml:space="preserve">Date</t>
  </si>
  <si>
    <t xml:space="preserve">Source</t>
  </si>
  <si>
    <t xml:space="preserve">Description</t>
  </si>
  <si>
    <t xml:space="preserve">Amount</t>
  </si>
  <si>
    <t xml:space="preserve">Salary</t>
  </si>
  <si>
    <t xml:space="preserve">Monthly salary</t>
  </si>
  <si>
    <t xml:space="preserve">Dividends</t>
  </si>
  <si>
    <t xml:space="preserve">Investment dividend</t>
  </si>
  <si>
    <t xml:space="preserve">Expense Log</t>
  </si>
  <si>
    <t xml:space="preserve">Add one row each time you spend. Category and Payment Method are dropdowns.</t>
  </si>
  <si>
    <t xml:space="preserve">Payment Method</t>
  </si>
  <si>
    <t xml:space="preserve">Room rent</t>
  </si>
  <si>
    <t xml:space="preserve">Bank Transfer</t>
  </si>
  <si>
    <t xml:space="preserve">Meralco electric bill</t>
  </si>
  <si>
    <t xml:space="preserve">Lunch with officemates</t>
  </si>
  <si>
    <t xml:space="preserve">Cash</t>
  </si>
  <si>
    <t xml:space="preserve">Grab to work</t>
  </si>
  <si>
    <t xml:space="preserve">GCash</t>
  </si>
  <si>
    <t xml:space="preserve">Shopee order</t>
  </si>
  <si>
    <t xml:space="preserve">Vitamins &amp; meds</t>
  </si>
  <si>
    <t xml:space="preserve">Dinner out</t>
  </si>
  <si>
    <t xml:space="preserve">Church donation</t>
  </si>
  <si>
    <t xml:space="preserve">Streaming subscription</t>
  </si>
  <si>
    <t xml:space="preserve">Birthday treat</t>
  </si>
  <si>
    <t xml:space="preserve">Monthly Budget</t>
  </si>
  <si>
    <t xml:space="preserve">Set how much you plan to spend per month in each category. Edit the blue column only.</t>
  </si>
  <si>
    <t xml:space="preserve">Total per month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</si>
</sst>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₱#,##0;&quot;(₱&quot;#,##0\)"/>
    <numFmt numFmtId="167" formatCode="0%"/>
    <numFmt numFmtId="168" formatCode="\₱#,##0.00;&quot;(₱&quot;#,##0.00\)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3D3528"/>
      <name val="Calibri"/>
      <family val="0"/>
      <charset val="1"/>
    </font>
    <font>
      <sz val="10"/>
      <color rgb="FF8A7F6D"/>
      <name val="Calibri"/>
      <family val="0"/>
      <charset val="1"/>
    </font>
    <font>
      <b val="true"/>
      <sz val="9"/>
      <color rgb="FF8A7F6D"/>
      <name val="Calibri"/>
      <family val="0"/>
      <charset val="1"/>
    </font>
    <font>
      <b val="true"/>
      <sz val="20"/>
      <color rgb="FF3D3528"/>
      <name val="Calibri"/>
      <family val="0"/>
      <charset val="1"/>
    </font>
    <font>
      <i val="true"/>
      <sz val="10"/>
      <color rgb="FF3D3528"/>
      <name val="Calibri"/>
      <family val="0"/>
      <charset val="1"/>
    </font>
    <font>
      <b val="true"/>
      <sz val="12"/>
      <color rgb="FF3D352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3D3528"/>
      <name val="Calibri"/>
      <family val="0"/>
      <charset val="1"/>
    </font>
    <font>
      <b val="true"/>
      <sz val="10"/>
      <color rgb="FF3D3528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CC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5EFE3"/>
        <bgColor rgb="FFFFFFFF"/>
      </patternFill>
    </fill>
    <fill>
      <patternFill patternType="solid">
        <fgColor rgb="FFC9D8C2"/>
        <bgColor rgb="FFD9CFBA"/>
      </patternFill>
    </fill>
    <fill>
      <patternFill patternType="solid">
        <fgColor rgb="FFE5D3B8"/>
        <bgColor rgb="FFD9CFBA"/>
      </patternFill>
    </fill>
    <fill>
      <patternFill patternType="solid">
        <fgColor rgb="FFE8DFC9"/>
        <bgColor rgb="FFD9D9D9"/>
      </patternFill>
    </fill>
    <fill>
      <patternFill patternType="solid">
        <fgColor rgb="FF7E9B76"/>
        <bgColor rgb="FF87878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FBA"/>
      </left>
      <right style="thin">
        <color rgb="FFD9CFBA"/>
      </right>
      <top style="thin">
        <color rgb="FFD9CFBA"/>
      </top>
      <bottom style="thin">
        <color rgb="FFD9CFB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b val="1"/>
        <color rgb="FFB3453A"/>
      </font>
    </dxf>
    <dxf>
      <font>
        <b val="1"/>
        <color rgb="FF4F7043"/>
      </font>
    </dxf>
    <dxf>
      <fill>
        <patternFill patternType="solid">
          <fgColor rgb="FF7E9B7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CC"/>
          <bgColor rgb="FF000000"/>
        </patternFill>
      </fill>
    </dxf>
    <dxf>
      <fill>
        <patternFill patternType="solid">
          <fgColor rgb="FF3D352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FBA"/>
      <rgbColor rgb="FF878787"/>
      <rgbColor rgb="FF9999FF"/>
      <rgbColor rgb="FFB3453A"/>
      <rgbColor rgb="FFF5EFE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DFC9"/>
      <rgbColor rgb="FFFFFF99"/>
      <rgbColor rgb="FFC9D8C2"/>
      <rgbColor rgb="FFC8A87C"/>
      <rgbColor rgb="FFCC99FF"/>
      <rgbColor rgb="FFE5D3B8"/>
      <rgbColor rgb="FF3366FF"/>
      <rgbColor rgb="FF33CCCC"/>
      <rgbColor rgb="FF99CC00"/>
      <rgbColor rgb="FFFFCC00"/>
      <rgbColor rgb="FFFF9900"/>
      <rgbColor rgb="FFFF6600"/>
      <rgbColor rgb="FF8A7F6D"/>
      <rgbColor rgb="FF7E9B76"/>
      <rgbColor rgb="FF003366"/>
      <rgbColor rgb="FF4F7043"/>
      <rgbColor rgb="FF003300"/>
      <rgbColor rgb="FF333300"/>
      <rgbColor rgb="FF993300"/>
      <rgbColor rgb="FF993366"/>
      <rgbColor rgb="FF333399"/>
      <rgbColor rgb="FF3D35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Money In vs Money Out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Dashboard!C28</c:f>
              <c:strCache>
                <c:ptCount val="1"/>
                <c:pt idx="0">
                  <c:v>Money In</c:v>
                </c:pt>
              </c:strCache>
            </c:strRef>
          </c:tx>
          <c:spPr>
            <a:solidFill>
              <a:srgbClr val="7e9b7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Dashboard!$B$29:$B$31</c:f>
              <c:strCache>
                <c:ptCount val="3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</c:strCache>
            </c:strRef>
          </c:cat>
          <c:val>
            <c:numRef>
              <c:f>Dashboard!$C$29:$C$31</c:f>
              <c:numCache>
                <c:formatCode>\₱#,##0;"(₱"#,##0\)</c:formatCode>
                <c:ptCount val="3"/>
                <c:pt idx="0">
                  <c:v>18120</c:v>
                </c:pt>
                <c:pt idx="1">
                  <c:v>18900</c:v>
                </c:pt>
                <c:pt idx="2">
                  <c:v>18500</c:v>
                </c:pt>
              </c:numCache>
            </c:numRef>
          </c:val>
        </c:ser>
        <c:ser>
          <c:idx val="1"/>
          <c:order val="1"/>
          <c:tx>
            <c:strRef>
              <c:f>Dashboard!D28</c:f>
              <c:strCache>
                <c:ptCount val="1"/>
                <c:pt idx="0">
                  <c:v>Money Out</c:v>
                </c:pt>
              </c:strCache>
            </c:strRef>
          </c:tx>
          <c:spPr>
            <a:solidFill>
              <a:srgbClr val="c8a87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Dashboard!$B$29:$B$31</c:f>
              <c:strCache>
                <c:ptCount val="3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</c:strCache>
            </c:strRef>
          </c:cat>
          <c:val>
            <c:numRef>
              <c:f>Dashboard!$D$29:$D$31</c:f>
              <c:numCache>
                <c:formatCode>\₱#,##0;"(₱"#,##0\)</c:formatCode>
                <c:ptCount val="3"/>
                <c:pt idx="0">
                  <c:v>8230</c:v>
                </c:pt>
                <c:pt idx="1">
                  <c:v>6890</c:v>
                </c:pt>
                <c:pt idx="2">
                  <c:v>6459</c:v>
                </c:pt>
              </c:numCache>
            </c:numRef>
          </c:val>
        </c:ser>
        <c:gapWidth val="55"/>
        <c:overlap val="0"/>
        <c:axId val="6683089"/>
        <c:axId val="59635437"/>
      </c:barChart>
      <c:catAx>
        <c:axId val="66830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35437"/>
        <c:crosses val="autoZero"/>
        <c:auto val="1"/>
        <c:lblAlgn val="ctr"/>
        <c:lblOffset val="100"/>
        <c:noMultiLvlLbl val="0"/>
      </c:catAx>
      <c:valAx>
        <c:axId val="5963543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₱#,##0;&quot;(₱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30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Spending by Category vs Budget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Dashboard!C18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c8a87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Dashboard!$B$19:$B$24</c:f>
              <c:strCache>
                <c:ptCount val="6"/>
                <c:pt idx="0">
                  <c:v>Living Expenses</c:v>
                </c:pt>
                <c:pt idx="1">
                  <c:v>Dining Out</c:v>
                </c:pt>
                <c:pt idx="2">
                  <c:v>Transport</c:v>
                </c:pt>
                <c:pt idx="3">
                  <c:v>Discretionary</c:v>
                </c:pt>
                <c:pt idx="4">
                  <c:v>Medical</c:v>
                </c:pt>
                <c:pt idx="5">
                  <c:v>Charity</c:v>
                </c:pt>
              </c:strCache>
            </c:strRef>
          </c:cat>
          <c:val>
            <c:numRef>
              <c:f>Dashboard!$C$19:$C$24</c:f>
              <c:numCache>
                <c:formatCode>\₱#,##0;"(₱"#,##0\)</c:formatCode>
                <c:ptCount val="6"/>
                <c:pt idx="0">
                  <c:v>16180</c:v>
                </c:pt>
                <c:pt idx="1">
                  <c:v>1170</c:v>
                </c:pt>
                <c:pt idx="2">
                  <c:v>1510</c:v>
                </c:pt>
                <c:pt idx="3">
                  <c:v>1799</c:v>
                </c:pt>
                <c:pt idx="4">
                  <c:v>620</c:v>
                </c:pt>
                <c:pt idx="5">
                  <c:v>300</c:v>
                </c:pt>
              </c:numCache>
            </c:numRef>
          </c:val>
        </c:ser>
        <c:ser>
          <c:idx val="1"/>
          <c:order val="1"/>
          <c:tx>
            <c:strRef>
              <c:f>Dashboard!D18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e5d3b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Dashboard!$B$19:$B$24</c:f>
              <c:strCache>
                <c:ptCount val="6"/>
                <c:pt idx="0">
                  <c:v>Living Expenses</c:v>
                </c:pt>
                <c:pt idx="1">
                  <c:v>Dining Out</c:v>
                </c:pt>
                <c:pt idx="2">
                  <c:v>Transport</c:v>
                </c:pt>
                <c:pt idx="3">
                  <c:v>Discretionary</c:v>
                </c:pt>
                <c:pt idx="4">
                  <c:v>Medical</c:v>
                </c:pt>
                <c:pt idx="5">
                  <c:v>Charity</c:v>
                </c:pt>
              </c:strCache>
            </c:strRef>
          </c:cat>
          <c:val>
            <c:numRef>
              <c:f>Dashboard!$D$19:$D$24</c:f>
              <c:numCache>
                <c:formatCode>\₱#,##0;"(₱"#,##0\)</c:formatCode>
                <c:ptCount val="6"/>
                <c:pt idx="0">
                  <c:v>19500</c:v>
                </c:pt>
                <c:pt idx="1">
                  <c:v>3000</c:v>
                </c:pt>
                <c:pt idx="2">
                  <c:v>3600</c:v>
                </c:pt>
                <c:pt idx="3">
                  <c:v>4500</c:v>
                </c:pt>
                <c:pt idx="4">
                  <c:v>2400</c:v>
                </c:pt>
                <c:pt idx="5">
                  <c:v>1200</c:v>
                </c:pt>
              </c:numCache>
            </c:numRef>
          </c:val>
        </c:ser>
        <c:gapWidth val="60"/>
        <c:overlap val="0"/>
        <c:axId val="58003225"/>
        <c:axId val="42759103"/>
      </c:barChart>
      <c:catAx>
        <c:axId val="580032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759103"/>
        <c:crosses val="autoZero"/>
        <c:auto val="1"/>
        <c:lblAlgn val="ctr"/>
        <c:lblOffset val="100"/>
        <c:noMultiLvlLbl val="0"/>
      </c:catAx>
      <c:valAx>
        <c:axId val="427591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₱#,##0;&quot;(₱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032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Saved Each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Dashboard!E28</c:f>
              <c:strCache>
                <c:ptCount val="1"/>
                <c:pt idx="0">
                  <c:v>Saved</c:v>
                </c:pt>
              </c:strCache>
            </c:strRef>
          </c:tx>
          <c:spPr>
            <a:solidFill>
              <a:srgbClr val="7e9b7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Dashboard!$B$29:$B$31</c:f>
              <c:strCache>
                <c:ptCount val="3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</c:strCache>
            </c:strRef>
          </c:cat>
          <c:val>
            <c:numRef>
              <c:f>Dashboard!$E$29:$E$31</c:f>
              <c:numCache>
                <c:formatCode>\₱#,##0;"(₱"#,##0\)</c:formatCode>
                <c:ptCount val="3"/>
                <c:pt idx="0">
                  <c:v>9890</c:v>
                </c:pt>
                <c:pt idx="1">
                  <c:v>12010</c:v>
                </c:pt>
                <c:pt idx="2">
                  <c:v>12041</c:v>
                </c:pt>
              </c:numCache>
            </c:numRef>
          </c:val>
        </c:ser>
        <c:gapWidth val="60"/>
        <c:overlap val="0"/>
        <c:axId val="2972568"/>
        <c:axId val="24085895"/>
      </c:barChart>
      <c:catAx>
        <c:axId val="297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85895"/>
        <c:crosses val="autoZero"/>
        <c:auto val="1"/>
        <c:lblAlgn val="ctr"/>
        <c:lblOffset val="100"/>
        <c:noMultiLvlLbl val="0"/>
      </c:catAx>
      <c:valAx>
        <c:axId val="240858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₱#,##0;&quot;(₱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25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5</xdr:row>
      <xdr:rowOff>0</xdr:rowOff>
    </xdr:from>
    <xdr:to>
      <xdr:col>14</xdr:col>
      <xdr:colOff>465840</xdr:colOff>
      <xdr:row>21</xdr:row>
      <xdr:rowOff>11520</xdr:rowOff>
    </xdr:to>
    <xdr:graphicFrame>
      <xdr:nvGraphicFramePr>
        <xdr:cNvPr id="0" name="Chart 1"/>
        <xdr:cNvGraphicFramePr/>
      </xdr:nvGraphicFramePr>
      <xdr:xfrm>
        <a:off x="5427360" y="9525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23</xdr:row>
      <xdr:rowOff>0</xdr:rowOff>
    </xdr:from>
    <xdr:to>
      <xdr:col>14</xdr:col>
      <xdr:colOff>465840</xdr:colOff>
      <xdr:row>39</xdr:row>
      <xdr:rowOff>11520</xdr:rowOff>
    </xdr:to>
    <xdr:graphicFrame>
      <xdr:nvGraphicFramePr>
        <xdr:cNvPr id="1" name="Chart 2"/>
        <xdr:cNvGraphicFramePr/>
      </xdr:nvGraphicFramePr>
      <xdr:xfrm>
        <a:off x="5427360" y="43815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41</xdr:row>
      <xdr:rowOff>0</xdr:rowOff>
    </xdr:from>
    <xdr:to>
      <xdr:col>14</xdr:col>
      <xdr:colOff>465840</xdr:colOff>
      <xdr:row>54</xdr:row>
      <xdr:rowOff>43200</xdr:rowOff>
    </xdr:to>
    <xdr:graphicFrame>
      <xdr:nvGraphicFramePr>
        <xdr:cNvPr id="2" name="Chart 3"/>
        <xdr:cNvGraphicFramePr/>
      </xdr:nvGraphicFramePr>
      <xdr:xfrm>
        <a:off x="5427360" y="7810560"/>
        <a:ext cx="53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xpenseTable" displayName="ExpenseTable" ref="A4:E48" headerRowCount="1" totalsRowCount="0" totalsRowShown="0">
  <autoFilter ref="A4:E48"/>
  <tableColumns count="5">
    <tableColumn id="1" name="Date"/>
    <tableColumn id="2" name="Category"/>
    <tableColumn id="3" name="Description"/>
    <tableColumn id="4" name="Amount"/>
    <tableColumn id="5" name="Payment Method"/>
  </tableColumns>
</table>
</file>

<file path=xl/tables/table2.xml><?xml version="1.0" encoding="utf-8"?>
<table xmlns="http://schemas.openxmlformats.org/spreadsheetml/2006/main" id="2" name="IncomeTable" displayName="IncomeTable" ref="A4:D34" headerRowCount="1" totalsRowCount="0" totalsRowShown="0">
  <autoFilter ref="A4:D34"/>
  <tableColumns count="4">
    <tableColumn id="1" name="Date"/>
    <tableColumn id="2" name="Source"/>
    <tableColumn id="3" name="Description"/>
    <tableColumn id="4" name="Am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3528"/>
    <pageSetUpPr fitToPage="true"/>
  </sheetPr>
  <dimension ref="A1:U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5" min="3" style="0" width="13"/>
    <col collapsed="false" customWidth="true" hidden="false" outlineLevel="0" max="6" min="6" style="0" width="14"/>
    <col collapsed="false" customWidth="true" hidden="false" outlineLevel="0" max="7" min="7" style="0" width="2"/>
    <col collapsed="false" customWidth="true" hidden="false" outlineLevel="0" max="17" min="8" style="0" width="10"/>
    <col collapsed="false" customWidth="true" hidden="false" outlineLevel="0" max="19" min="18" style="0" width="4"/>
    <col collapsed="false" customWidth="true" hidden="true" outlineLevel="0" max="20" min="20" style="0" width="1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 t="n">
        <f aca="false">MAX(MAX(Income!$A$5:$A$34),MAX(Expenses!$A$5:$A$48))</f>
        <v>46105</v>
      </c>
      <c r="U1" s="1"/>
    </row>
    <row r="2" customFormat="false" ht="15" hidden="false" customHeight="false" outlineLevel="0" collapsed="false">
      <c r="A2" s="1"/>
      <c r="B2" s="3" t="s">
        <v>0</v>
      </c>
      <c r="C2" s="3"/>
      <c r="D2" s="3"/>
      <c r="E2" s="3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 t="n">
        <f aca="false">DATE(YEAR($T$1),MONTH($T$1),1)</f>
        <v>46082</v>
      </c>
      <c r="U2" s="1"/>
    </row>
    <row r="3" customFormat="false" ht="15" hidden="false" customHeight="false" outlineLevel="0" collapsed="false">
      <c r="A3" s="1"/>
      <c r="B3" s="3"/>
      <c r="C3" s="3"/>
      <c r="D3" s="3"/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customFormat="false" ht="15" hidden="false" customHeight="false" outlineLevel="0" collapsed="false">
      <c r="A4" s="1"/>
      <c r="B4" s="4" t="str">
        <f aca="false">TEXT($T$4,"mmm yyyy")&amp;" to "&amp;TEXT($T$6,"mmm yyyy")&amp;"  ·  last 3 months  ·  all amounts in pesos"</f>
        <v>Jan 2026 to Mar 2026  ·  last 3 months  ·  all amounts in pesos</v>
      </c>
      <c r="C4" s="4"/>
      <c r="D4" s="4"/>
      <c r="E4" s="4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2" t="n">
        <f aca="false">EDATE($T$2,-2)</f>
        <v>46023</v>
      </c>
      <c r="U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" t="n">
        <f aca="false">EDATE($T$2,-1)</f>
        <v>46054</v>
      </c>
      <c r="U5" s="1"/>
    </row>
    <row r="6" customFormat="false" ht="15" hidden="false" customHeight="false" outlineLevel="0" collapsed="false">
      <c r="A6" s="1"/>
      <c r="B6" s="5" t="s">
        <v>1</v>
      </c>
      <c r="C6" s="5"/>
      <c r="D6" s="1"/>
      <c r="E6" s="6" t="s">
        <v>2</v>
      </c>
      <c r="F6" s="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2" t="n">
        <f aca="false">EDATE($T$2,0)</f>
        <v>46082</v>
      </c>
      <c r="U6" s="1"/>
    </row>
    <row r="7" customFormat="false" ht="15" hidden="false" customHeight="false" outlineLevel="0" collapsed="false">
      <c r="A7" s="1"/>
      <c r="B7" s="7" t="n">
        <f aca="false">SUMIFS(Income!$D$5:$D$34,Income!$A$5:$A$34,"&gt;="&amp;$T$4,Income!$A$5:$A$34,"&lt;="&amp;EOMONTH($T$6,0))</f>
        <v>55520</v>
      </c>
      <c r="C7" s="7"/>
      <c r="D7" s="1"/>
      <c r="E7" s="8" t="n">
        <f aca="false">SUMIFS(Expenses!$D$5:$D$48,Expenses!$A$5:$A$48,"&gt;="&amp;$T$4,Expenses!$A$5:$A$48,"&lt;="&amp;EOMONTH($T$6,0))</f>
        <v>21579</v>
      </c>
      <c r="F7" s="8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customFormat="false" ht="15" hidden="false" customHeight="false" outlineLevel="0" collapsed="false">
      <c r="A8" s="1"/>
      <c r="B8" s="7"/>
      <c r="C8" s="7"/>
      <c r="D8" s="1"/>
      <c r="E8" s="8"/>
      <c r="F8" s="8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customFormat="false" ht="15" hidden="false" customHeight="false" outlineLevel="0" collapsed="false">
      <c r="A10" s="1"/>
      <c r="B10" s="9" t="s">
        <v>3</v>
      </c>
      <c r="C10" s="9"/>
      <c r="D10" s="1"/>
      <c r="E10" s="9" t="s">
        <v>4</v>
      </c>
      <c r="F10" s="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customFormat="false" ht="15" hidden="false" customHeight="false" outlineLevel="0" collapsed="false">
      <c r="A11" s="1"/>
      <c r="B11" s="10" t="n">
        <f aca="false">SUMIFS(Income!$D$5:$D$34,Income!$A$5:$A$34,"&gt;="&amp;$T$4,Income!$A$5:$A$34,"&lt;="&amp;EOMONTH($T$6,0))-SUMIFS(Expenses!$D$5:$D$48,Expenses!$A$5:$A$48,"&gt;="&amp;$T$4,Expenses!$A$5:$A$48,"&lt;="&amp;EOMONTH($T$6,0))</f>
        <v>33941</v>
      </c>
      <c r="C11" s="10"/>
      <c r="D11" s="1"/>
      <c r="E11" s="10" t="n">
        <f aca="false">(SUM(Budget!$B$5:$B$10)*3)-SUMIFS(Expenses!$D$5:$D$48,Expenses!$A$5:$A$48,"&gt;="&amp;$T$4,Expenses!$A$5:$A$48,"&lt;="&amp;EOMONTH($T$6,0))</f>
        <v>12621</v>
      </c>
      <c r="F11" s="1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customFormat="false" ht="15" hidden="false" customHeight="false" outlineLevel="0" collapsed="false">
      <c r="A12" s="1"/>
      <c r="B12" s="10"/>
      <c r="C12" s="10"/>
      <c r="D12" s="1"/>
      <c r="E12" s="10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customFormat="false" ht="15" hidden="false" customHeight="false" outlineLevel="0" collapsed="false">
      <c r="A14" s="1"/>
      <c r="B14" s="11" t="str">
        <f aca="false">"Biggest expense: "&amp;INDEX($B$19:$B$24,MATCH(MAX($C$19:$C$24),$C$19:$C$24,0))&amp;" ("&amp;TEXT(MAX($C$19:$C$24),"₱#,##0")&amp;", "&amp;TEXT(MAX($C$19:$C$24)/SUMIFS(Expenses!$D$5:$D$48,Expenses!$A$5:$A$48,"&gt;="&amp;$T$4,Expenses!$A$5:$A$48,"&lt;="&amp;EOMONTH($T$6,0)),"0%")&amp;" of spending).   You kept "&amp;TEXT(IFERROR((SUMIFS(Income!$D$5:$D$34,Income!$A$5:$A$34,"&gt;="&amp;$T$4,Income!$A$5:$A$34,"&lt;="&amp;EOMONTH($T$6,0))-SUMIFS(Expenses!$D$5:$D$48,Expenses!$A$5:$A$48,"&gt;="&amp;$T$4,Expenses!$A$5:$A$48,"&lt;="&amp;EOMONTH($T$6,0)))/SUMIFS(Income!$D$5:$D$34,Income!$A$5:$A$34,"&gt;="&amp;$T$4,Income!$A$5:$A$34,"&lt;="&amp;EOMONTH($T$6,0)),0),"0%")&amp;" of what you earned."</f>
        <v>Biggest expense: Living Expenses (₱16,180, 75% of spending).   You kept 61% of what you earned.</v>
      </c>
      <c r="C14" s="11"/>
      <c r="D14" s="11"/>
      <c r="E14" s="11"/>
      <c r="F14" s="1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customFormat="false" ht="15" hidden="false" customHeight="false" outlineLevel="0" collapsed="false">
      <c r="A15" s="1"/>
      <c r="B15" s="11"/>
      <c r="C15" s="11"/>
      <c r="D15" s="11"/>
      <c r="E15" s="11"/>
      <c r="F15" s="1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customFormat="false" ht="15" hidden="false" customHeight="false" outlineLevel="0" collapsed="false">
      <c r="A17" s="1"/>
      <c r="B17" s="12" t="s">
        <v>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customFormat="false" ht="15" hidden="false" customHeight="false" outlineLevel="0" collapsed="false">
      <c r="A18" s="1"/>
      <c r="B18" s="13" t="s">
        <v>6</v>
      </c>
      <c r="C18" s="13" t="s">
        <v>7</v>
      </c>
      <c r="D18" s="13" t="s">
        <v>8</v>
      </c>
      <c r="E18" s="13" t="s">
        <v>9</v>
      </c>
      <c r="F18" s="13" t="s">
        <v>10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customFormat="false" ht="15" hidden="false" customHeight="false" outlineLevel="0" collapsed="false">
      <c r="A19" s="1"/>
      <c r="B19" s="14" t="s">
        <v>11</v>
      </c>
      <c r="C19" s="15" t="n">
        <f aca="false">SUMIFS(Expenses!$D$5:$D$48,Expenses!$B$5:$B$48,B19,Expenses!$A$5:$A$48,"&gt;="&amp;$T$4,Expenses!$A$5:$A$48,"&lt;="&amp;EOMONTH($T$6,0))</f>
        <v>16180</v>
      </c>
      <c r="D19" s="15" t="n">
        <f aca="false">IFERROR(INDEX(Budget!$B$5:$B$10,MATCH(B19,Budget!$A$5:$A$10,0))*3,0)</f>
        <v>19500</v>
      </c>
      <c r="E19" s="15" t="n">
        <f aca="false">D19-C19</f>
        <v>3320</v>
      </c>
      <c r="F19" s="16" t="n">
        <f aca="false">IFERROR(C19/SUMIFS(Expenses!$D$5:$D$48,Expenses!$A$5:$A$48,"&gt;="&amp;$T$4,Expenses!$A$5:$A$48,"&lt;="&amp;EOMONTH($T$6,0)),0)</f>
        <v>0.749803049260856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customFormat="false" ht="15" hidden="false" customHeight="false" outlineLevel="0" collapsed="false">
      <c r="A20" s="1"/>
      <c r="B20" s="14" t="s">
        <v>12</v>
      </c>
      <c r="C20" s="15" t="n">
        <f aca="false">SUMIFS(Expenses!$D$5:$D$48,Expenses!$B$5:$B$48,B20,Expenses!$A$5:$A$48,"&gt;="&amp;$T$4,Expenses!$A$5:$A$48,"&lt;="&amp;EOMONTH($T$6,0))</f>
        <v>1170</v>
      </c>
      <c r="D20" s="15" t="n">
        <f aca="false">IFERROR(INDEX(Budget!$B$5:$B$10,MATCH(B20,Budget!$A$5:$A$10,0))*3,0)</f>
        <v>3000</v>
      </c>
      <c r="E20" s="15" t="n">
        <f aca="false">D20-C20</f>
        <v>1830</v>
      </c>
      <c r="F20" s="16" t="n">
        <f aca="false">IFERROR(C20/SUMIFS(Expenses!$D$5:$D$48,Expenses!$A$5:$A$48,"&gt;="&amp;$T$4,Expenses!$A$5:$A$48,"&lt;="&amp;EOMONTH($T$6,0)),0)</f>
        <v>0.0542193799527318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customFormat="false" ht="15" hidden="false" customHeight="false" outlineLevel="0" collapsed="false">
      <c r="A21" s="1"/>
      <c r="B21" s="14" t="s">
        <v>13</v>
      </c>
      <c r="C21" s="15" t="n">
        <f aca="false">SUMIFS(Expenses!$D$5:$D$48,Expenses!$B$5:$B$48,B21,Expenses!$A$5:$A$48,"&gt;="&amp;$T$4,Expenses!$A$5:$A$48,"&lt;="&amp;EOMONTH($T$6,0))</f>
        <v>1510</v>
      </c>
      <c r="D21" s="15" t="n">
        <f aca="false">IFERROR(INDEX(Budget!$B$5:$B$10,MATCH(B21,Budget!$A$5:$A$10,0))*3,0)</f>
        <v>3600</v>
      </c>
      <c r="E21" s="15" t="n">
        <f aca="false">D21-C21</f>
        <v>2090</v>
      </c>
      <c r="F21" s="16" t="n">
        <f aca="false">IFERROR(C21/SUMIFS(Expenses!$D$5:$D$48,Expenses!$A$5:$A$48,"&gt;="&amp;$T$4,Expenses!$A$5:$A$48,"&lt;="&amp;EOMONTH($T$6,0)),0)</f>
        <v>0.0699754390842949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customFormat="false" ht="15" hidden="false" customHeight="false" outlineLevel="0" collapsed="false">
      <c r="A22" s="1"/>
      <c r="B22" s="14" t="s">
        <v>14</v>
      </c>
      <c r="C22" s="15" t="n">
        <f aca="false">SUMIFS(Expenses!$D$5:$D$48,Expenses!$B$5:$B$48,B22,Expenses!$A$5:$A$48,"&gt;="&amp;$T$4,Expenses!$A$5:$A$48,"&lt;="&amp;EOMONTH($T$6,0))</f>
        <v>1799</v>
      </c>
      <c r="D22" s="15" t="n">
        <f aca="false">IFERROR(INDEX(Budget!$B$5:$B$10,MATCH(B22,Budget!$A$5:$A$10,0))*3,0)</f>
        <v>4500</v>
      </c>
      <c r="E22" s="15" t="n">
        <f aca="false">D22-C22</f>
        <v>2701</v>
      </c>
      <c r="F22" s="16" t="n">
        <f aca="false">IFERROR(C22/SUMIFS(Expenses!$D$5:$D$48,Expenses!$A$5:$A$48,"&gt;="&amp;$T$4,Expenses!$A$5:$A$48,"&lt;="&amp;EOMONTH($T$6,0)),0)</f>
        <v>0.0833680893461236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customFormat="false" ht="15" hidden="false" customHeight="false" outlineLevel="0" collapsed="false">
      <c r="A23" s="1"/>
      <c r="B23" s="14" t="s">
        <v>15</v>
      </c>
      <c r="C23" s="15" t="n">
        <f aca="false">SUMIFS(Expenses!$D$5:$D$48,Expenses!$B$5:$B$48,B23,Expenses!$A$5:$A$48,"&gt;="&amp;$T$4,Expenses!$A$5:$A$48,"&lt;="&amp;EOMONTH($T$6,0))</f>
        <v>620</v>
      </c>
      <c r="D23" s="15" t="n">
        <f aca="false">IFERROR(INDEX(Budget!$B$5:$B$10,MATCH(B23,Budget!$A$5:$A$10,0))*3,0)</f>
        <v>2400</v>
      </c>
      <c r="E23" s="15" t="n">
        <f aca="false">D23-C23</f>
        <v>1780</v>
      </c>
      <c r="F23" s="16" t="n">
        <f aca="false">IFERROR(C23/SUMIFS(Expenses!$D$5:$D$48,Expenses!$A$5:$A$48,"&gt;="&amp;$T$4,Expenses!$A$5:$A$48,"&lt;="&amp;EOMONTH($T$6,0)),0)</f>
        <v>0.0287316372399092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customFormat="false" ht="15" hidden="false" customHeight="false" outlineLevel="0" collapsed="false">
      <c r="A24" s="1"/>
      <c r="B24" s="14" t="s">
        <v>16</v>
      </c>
      <c r="C24" s="15" t="n">
        <f aca="false">SUMIFS(Expenses!$D$5:$D$48,Expenses!$B$5:$B$48,B24,Expenses!$A$5:$A$48,"&gt;="&amp;$T$4,Expenses!$A$5:$A$48,"&lt;="&amp;EOMONTH($T$6,0))</f>
        <v>300</v>
      </c>
      <c r="D24" s="15" t="n">
        <f aca="false">IFERROR(INDEX(Budget!$B$5:$B$10,MATCH(B24,Budget!$A$5:$A$10,0))*3,0)</f>
        <v>1200</v>
      </c>
      <c r="E24" s="15" t="n">
        <f aca="false">D24-C24</f>
        <v>900</v>
      </c>
      <c r="F24" s="16" t="n">
        <f aca="false">IFERROR(C24/SUMIFS(Expenses!$D$5:$D$48,Expenses!$A$5:$A$48,"&gt;="&amp;$T$4,Expenses!$A$5:$A$48,"&lt;="&amp;EOMONTH($T$6,0)),0)</f>
        <v>0.0139024051160851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customFormat="false" ht="15" hidden="false" customHeight="false" outlineLevel="0" collapsed="false">
      <c r="A25" s="1"/>
      <c r="B25" s="17" t="s">
        <v>17</v>
      </c>
      <c r="C25" s="18" t="n">
        <f aca="false">SUM(C19:C24)</f>
        <v>21579</v>
      </c>
      <c r="D25" s="18" t="n">
        <f aca="false">SUM(D19:D24)</f>
        <v>34200</v>
      </c>
      <c r="E25" s="18" t="n">
        <f aca="false">SUM(E19:E24)</f>
        <v>12621</v>
      </c>
      <c r="F25" s="19" t="n">
        <f aca="false">IFERROR(C25/SUMIFS(Expenses!$D$5:$D$48,Expenses!$A$5:$A$48,"&gt;="&amp;$T$4,Expenses!$A$5:$A$48,"&lt;="&amp;EOMONTH($T$6,0)),0)</f>
        <v>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customFormat="false" ht="15" hidden="false" customHeight="false" outlineLevel="0" collapsed="false">
      <c r="A27" s="1"/>
      <c r="B27" s="12" t="s">
        <v>18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customFormat="false" ht="15" hidden="false" customHeight="false" outlineLevel="0" collapsed="false">
      <c r="A28" s="1"/>
      <c r="B28" s="13" t="s">
        <v>19</v>
      </c>
      <c r="C28" s="13" t="s">
        <v>20</v>
      </c>
      <c r="D28" s="13" t="s">
        <v>21</v>
      </c>
      <c r="E28" s="13" t="s">
        <v>22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customFormat="false" ht="15" hidden="false" customHeight="false" outlineLevel="0" collapsed="false">
      <c r="A29" s="1"/>
      <c r="B29" s="14" t="str">
        <f aca="false">TEXT($T$4,"mmm yyyy")</f>
        <v>Jan 2026</v>
      </c>
      <c r="C29" s="15" t="n">
        <f aca="false">SUMIFS(Income!$D$5:$D$34,Income!$A$5:$A$34,"&gt;="&amp;$T$4,Income!$A$5:$A$34,"&lt;="&amp;EOMONTH($T$4,0))</f>
        <v>18120</v>
      </c>
      <c r="D29" s="15" t="n">
        <f aca="false">SUMIFS(Expenses!$D$5:$D$48,Expenses!$A$5:$A$48,"&gt;="&amp;$T$4,Expenses!$A$5:$A$48,"&lt;="&amp;EOMONTH($T$4,0))</f>
        <v>8230</v>
      </c>
      <c r="E29" s="15" t="n">
        <f aca="false">C29-D29</f>
        <v>9890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customFormat="false" ht="15" hidden="false" customHeight="false" outlineLevel="0" collapsed="false">
      <c r="A30" s="1"/>
      <c r="B30" s="14" t="str">
        <f aca="false">TEXT($T$5,"mmm yyyy")</f>
        <v>Feb 2026</v>
      </c>
      <c r="C30" s="15" t="n">
        <f aca="false">SUMIFS(Income!$D$5:$D$34,Income!$A$5:$A$34,"&gt;="&amp;$T$5,Income!$A$5:$A$34,"&lt;="&amp;EOMONTH($T$5,0))</f>
        <v>18900</v>
      </c>
      <c r="D30" s="15" t="n">
        <f aca="false">SUMIFS(Expenses!$D$5:$D$48,Expenses!$A$5:$A$48,"&gt;="&amp;$T$5,Expenses!$A$5:$A$48,"&lt;="&amp;EOMONTH($T$5,0))</f>
        <v>6890</v>
      </c>
      <c r="E30" s="15" t="n">
        <f aca="false">C30-D30</f>
        <v>12010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customFormat="false" ht="15" hidden="false" customHeight="false" outlineLevel="0" collapsed="false">
      <c r="A31" s="1"/>
      <c r="B31" s="14" t="str">
        <f aca="false">TEXT($T$6,"mmm yyyy")</f>
        <v>Mar 2026</v>
      </c>
      <c r="C31" s="15" t="n">
        <f aca="false">SUMIFS(Income!$D$5:$D$34,Income!$A$5:$A$34,"&gt;="&amp;$T$6,Income!$A$5:$A$34,"&lt;="&amp;EOMONTH($T$6,0))</f>
        <v>18500</v>
      </c>
      <c r="D31" s="15" t="n">
        <f aca="false">SUMIFS(Expenses!$D$5:$D$48,Expenses!$A$5:$A$48,"&gt;="&amp;$T$6,Expenses!$A$5:$A$48,"&lt;="&amp;EOMONTH($T$6,0))</f>
        <v>6459</v>
      </c>
      <c r="E31" s="15" t="n">
        <f aca="false">C31-D31</f>
        <v>12041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</sheetData>
  <mergeCells count="11">
    <mergeCell ref="B2:F3"/>
    <mergeCell ref="B4:F4"/>
    <mergeCell ref="B6:C6"/>
    <mergeCell ref="E6:F6"/>
    <mergeCell ref="B7:C8"/>
    <mergeCell ref="E7:F8"/>
    <mergeCell ref="B10:C10"/>
    <mergeCell ref="E10:F10"/>
    <mergeCell ref="B11:C12"/>
    <mergeCell ref="E11:F12"/>
    <mergeCell ref="B14:F15"/>
  </mergeCells>
  <conditionalFormatting sqref="E19:E25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conditionalFormatting sqref="F19:F24">
    <cfRule type="dataBar" priority="4">
      <dataBar showValue="1" minLength="10" maxLength="90">
        <cfvo type="num" val="0"/>
        <cfvo type="num" val="1"/>
        <color rgb="FFC8A87C"/>
      </dataBar>
      <extLst>
        <ext xmlns:x14="http://schemas.microsoft.com/office/spreadsheetml/2009/9/main" uri="{B025F937-C7B1-47D3-B67F-A62EFF666E3E}">
          <x14:id>{11C7DC1A-DADD-462D-ACE2-C491CE995071}</x14:id>
        </ext>
      </extLst>
    </cfRule>
  </conditionalFormatting>
  <conditionalFormatting sqref="E29:E31">
    <cfRule type="cellIs" priority="5" operator="lessThan" aboveAverage="0" equalAverage="0" bottom="0" percent="0" rank="0" text="" dxfId="0">
      <formula>0</formula>
    </cfRule>
    <cfRule type="cellIs" priority="6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C7DC1A-DADD-462D-ACE2-C491CE99507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8A87C"/>
              <x14:axisColor rgb="FF000000"/>
            </x14:dataBar>
          </x14:cfRule>
          <xm:sqref>F19:F24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E9B76"/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4"/>
  </cols>
  <sheetData>
    <row r="1" customFormat="false" ht="26.8" hidden="false" customHeight="false" outlineLevel="0" collapsed="false">
      <c r="A1" s="20" t="s">
        <v>23</v>
      </c>
    </row>
    <row r="2" customFormat="false" ht="15" hidden="false" customHeight="false" outlineLevel="0" collapsed="false">
      <c r="A2" s="21" t="s">
        <v>24</v>
      </c>
    </row>
    <row r="4" customFormat="false" ht="15" hidden="false" customHeight="false" outlineLevel="0" collapsed="false">
      <c r="A4" s="13" t="s">
        <v>25</v>
      </c>
      <c r="B4" s="13" t="s">
        <v>26</v>
      </c>
      <c r="C4" s="13" t="s">
        <v>27</v>
      </c>
      <c r="D4" s="13" t="s">
        <v>28</v>
      </c>
    </row>
    <row r="5" customFormat="false" ht="15" hidden="false" customHeight="false" outlineLevel="0" collapsed="false">
      <c r="A5" s="22" t="n">
        <v>45976</v>
      </c>
      <c r="B5" s="23" t="s">
        <v>29</v>
      </c>
      <c r="C5" s="23" t="s">
        <v>30</v>
      </c>
      <c r="D5" s="24" t="n">
        <v>18000</v>
      </c>
    </row>
    <row r="6" customFormat="false" ht="15" hidden="false" customHeight="false" outlineLevel="0" collapsed="false">
      <c r="A6" s="22" t="n">
        <v>46006</v>
      </c>
      <c r="B6" s="23" t="s">
        <v>29</v>
      </c>
      <c r="C6" s="23" t="s">
        <v>30</v>
      </c>
      <c r="D6" s="24" t="n">
        <v>18000</v>
      </c>
    </row>
    <row r="7" customFormat="false" ht="15" hidden="false" customHeight="false" outlineLevel="0" collapsed="false">
      <c r="A7" s="22" t="n">
        <v>46037</v>
      </c>
      <c r="B7" s="23" t="s">
        <v>29</v>
      </c>
      <c r="C7" s="23" t="s">
        <v>30</v>
      </c>
      <c r="D7" s="24" t="n">
        <v>18120</v>
      </c>
    </row>
    <row r="8" customFormat="false" ht="15" hidden="false" customHeight="false" outlineLevel="0" collapsed="false">
      <c r="A8" s="22" t="n">
        <v>46068</v>
      </c>
      <c r="B8" s="23" t="s">
        <v>29</v>
      </c>
      <c r="C8" s="23" t="s">
        <v>30</v>
      </c>
      <c r="D8" s="24" t="n">
        <v>18450</v>
      </c>
    </row>
    <row r="9" customFormat="false" ht="15" hidden="false" customHeight="false" outlineLevel="0" collapsed="false">
      <c r="A9" s="22" t="n">
        <v>46081</v>
      </c>
      <c r="B9" s="23" t="s">
        <v>31</v>
      </c>
      <c r="C9" s="23" t="s">
        <v>32</v>
      </c>
      <c r="D9" s="24" t="n">
        <v>450</v>
      </c>
    </row>
    <row r="10" customFormat="false" ht="15" hidden="false" customHeight="false" outlineLevel="0" collapsed="false">
      <c r="A10" s="22" t="n">
        <v>46096</v>
      </c>
      <c r="B10" s="23" t="s">
        <v>29</v>
      </c>
      <c r="C10" s="23" t="s">
        <v>30</v>
      </c>
      <c r="D10" s="24" t="n">
        <v>18500</v>
      </c>
    </row>
    <row r="11" customFormat="false" ht="15" hidden="false" customHeight="false" outlineLevel="0" collapsed="false">
      <c r="A11" s="25"/>
      <c r="B11" s="26"/>
      <c r="C11" s="26"/>
      <c r="D11" s="27"/>
    </row>
    <row r="12" customFormat="false" ht="15" hidden="false" customHeight="false" outlineLevel="0" collapsed="false">
      <c r="A12" s="25"/>
      <c r="B12" s="26"/>
      <c r="C12" s="26"/>
      <c r="D12" s="27"/>
    </row>
    <row r="13" customFormat="false" ht="15" hidden="false" customHeight="false" outlineLevel="0" collapsed="false">
      <c r="A13" s="25"/>
      <c r="B13" s="26"/>
      <c r="C13" s="26"/>
      <c r="D13" s="27"/>
    </row>
    <row r="14" customFormat="false" ht="15" hidden="false" customHeight="false" outlineLevel="0" collapsed="false">
      <c r="A14" s="25"/>
      <c r="B14" s="26"/>
      <c r="C14" s="26"/>
      <c r="D14" s="27"/>
    </row>
    <row r="15" customFormat="false" ht="15" hidden="false" customHeight="false" outlineLevel="0" collapsed="false">
      <c r="A15" s="25"/>
      <c r="B15" s="26"/>
      <c r="C15" s="26"/>
      <c r="D15" s="27"/>
    </row>
    <row r="16" customFormat="false" ht="15" hidden="false" customHeight="false" outlineLevel="0" collapsed="false">
      <c r="A16" s="25"/>
      <c r="B16" s="26"/>
      <c r="C16" s="26"/>
      <c r="D16" s="27"/>
    </row>
    <row r="17" customFormat="false" ht="15" hidden="false" customHeight="false" outlineLevel="0" collapsed="false">
      <c r="A17" s="25"/>
      <c r="B17" s="26"/>
      <c r="C17" s="26"/>
      <c r="D17" s="27"/>
    </row>
    <row r="18" customFormat="false" ht="15" hidden="false" customHeight="false" outlineLevel="0" collapsed="false">
      <c r="A18" s="25"/>
      <c r="B18" s="26"/>
      <c r="C18" s="26"/>
      <c r="D18" s="27"/>
    </row>
    <row r="19" customFormat="false" ht="15" hidden="false" customHeight="false" outlineLevel="0" collapsed="false">
      <c r="A19" s="25"/>
      <c r="B19" s="26"/>
      <c r="C19" s="26"/>
      <c r="D19" s="27"/>
    </row>
    <row r="20" customFormat="false" ht="15" hidden="false" customHeight="false" outlineLevel="0" collapsed="false">
      <c r="A20" s="25"/>
      <c r="B20" s="26"/>
      <c r="C20" s="26"/>
      <c r="D20" s="27"/>
    </row>
    <row r="21" customFormat="false" ht="15" hidden="false" customHeight="false" outlineLevel="0" collapsed="false">
      <c r="A21" s="25"/>
      <c r="B21" s="26"/>
      <c r="C21" s="26"/>
      <c r="D21" s="27"/>
    </row>
    <row r="22" customFormat="false" ht="15" hidden="false" customHeight="false" outlineLevel="0" collapsed="false">
      <c r="A22" s="25"/>
      <c r="B22" s="26"/>
      <c r="C22" s="26"/>
      <c r="D22" s="27"/>
    </row>
    <row r="23" customFormat="false" ht="15" hidden="false" customHeight="false" outlineLevel="0" collapsed="false">
      <c r="A23" s="25"/>
      <c r="B23" s="26"/>
      <c r="C23" s="26"/>
      <c r="D23" s="27"/>
    </row>
    <row r="24" customFormat="false" ht="15" hidden="false" customHeight="false" outlineLevel="0" collapsed="false">
      <c r="A24" s="25"/>
      <c r="B24" s="26"/>
      <c r="C24" s="26"/>
      <c r="D24" s="27"/>
    </row>
    <row r="25" customFormat="false" ht="15" hidden="false" customHeight="false" outlineLevel="0" collapsed="false">
      <c r="A25" s="25"/>
      <c r="B25" s="26"/>
      <c r="C25" s="26"/>
      <c r="D25" s="27"/>
    </row>
    <row r="26" customFormat="false" ht="15" hidden="false" customHeight="false" outlineLevel="0" collapsed="false">
      <c r="A26" s="25"/>
      <c r="B26" s="26"/>
      <c r="C26" s="26"/>
      <c r="D26" s="27"/>
    </row>
    <row r="27" customFormat="false" ht="15" hidden="false" customHeight="false" outlineLevel="0" collapsed="false">
      <c r="A27" s="25"/>
      <c r="B27" s="26"/>
      <c r="C27" s="26"/>
      <c r="D27" s="27"/>
    </row>
    <row r="28" customFormat="false" ht="15" hidden="false" customHeight="false" outlineLevel="0" collapsed="false">
      <c r="A28" s="25"/>
      <c r="B28" s="26"/>
      <c r="C28" s="26"/>
      <c r="D28" s="27"/>
    </row>
    <row r="29" customFormat="false" ht="15" hidden="false" customHeight="false" outlineLevel="0" collapsed="false">
      <c r="A29" s="25"/>
      <c r="B29" s="26"/>
      <c r="C29" s="26"/>
      <c r="D29" s="27"/>
    </row>
    <row r="30" customFormat="false" ht="15" hidden="false" customHeight="false" outlineLevel="0" collapsed="false">
      <c r="A30" s="25"/>
      <c r="B30" s="26"/>
      <c r="C30" s="26"/>
      <c r="D30" s="27"/>
    </row>
    <row r="31" customFormat="false" ht="15" hidden="false" customHeight="false" outlineLevel="0" collapsed="false">
      <c r="A31" s="25"/>
      <c r="B31" s="26"/>
      <c r="C31" s="26"/>
      <c r="D31" s="27"/>
    </row>
    <row r="32" customFormat="false" ht="15" hidden="false" customHeight="false" outlineLevel="0" collapsed="false">
      <c r="A32" s="25"/>
      <c r="B32" s="26"/>
      <c r="C32" s="26"/>
      <c r="D32" s="27"/>
    </row>
    <row r="33" customFormat="false" ht="15" hidden="false" customHeight="false" outlineLevel="0" collapsed="false">
      <c r="A33" s="25"/>
      <c r="B33" s="26"/>
      <c r="C33" s="26"/>
      <c r="D33" s="27"/>
    </row>
    <row r="34" customFormat="false" ht="15" hidden="false" customHeight="false" outlineLevel="0" collapsed="false">
      <c r="A34" s="25"/>
      <c r="B34" s="26"/>
      <c r="C34" s="26"/>
      <c r="D34" s="27"/>
    </row>
  </sheetData>
  <dataValidations count="1">
    <dataValidation allowBlank="true" errorStyle="stop" operator="between" showDropDown="false" showErrorMessage="false" showInputMessage="false" sqref="B5:B34" type="list">
      <formula1>"Salary,Interest,Dividends"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87C"/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7"/>
  </cols>
  <sheetData>
    <row r="1" customFormat="false" ht="26.8" hidden="false" customHeight="false" outlineLevel="0" collapsed="false">
      <c r="A1" s="20" t="s">
        <v>33</v>
      </c>
    </row>
    <row r="2" customFormat="false" ht="15" hidden="false" customHeight="false" outlineLevel="0" collapsed="false">
      <c r="A2" s="21" t="s">
        <v>34</v>
      </c>
    </row>
    <row r="4" customFormat="false" ht="15" hidden="false" customHeight="false" outlineLevel="0" collapsed="false">
      <c r="A4" s="13" t="s">
        <v>25</v>
      </c>
      <c r="B4" s="13" t="s">
        <v>6</v>
      </c>
      <c r="C4" s="13" t="s">
        <v>27</v>
      </c>
      <c r="D4" s="13" t="s">
        <v>28</v>
      </c>
      <c r="E4" s="13" t="s">
        <v>35</v>
      </c>
    </row>
    <row r="5" customFormat="false" ht="15" hidden="false" customHeight="false" outlineLevel="0" collapsed="false">
      <c r="A5" s="22" t="n">
        <v>45966</v>
      </c>
      <c r="B5" s="23" t="s">
        <v>11</v>
      </c>
      <c r="C5" s="23" t="s">
        <v>36</v>
      </c>
      <c r="D5" s="24" t="n">
        <v>5000</v>
      </c>
      <c r="E5" s="23" t="s">
        <v>37</v>
      </c>
    </row>
    <row r="6" customFormat="false" ht="15" hidden="false" customHeight="false" outlineLevel="0" collapsed="false">
      <c r="A6" s="22" t="n">
        <v>45996</v>
      </c>
      <c r="B6" s="23" t="s">
        <v>11</v>
      </c>
      <c r="C6" s="23" t="s">
        <v>36</v>
      </c>
      <c r="D6" s="24" t="n">
        <v>5000</v>
      </c>
      <c r="E6" s="23" t="s">
        <v>37</v>
      </c>
    </row>
    <row r="7" customFormat="false" ht="15" hidden="false" customHeight="false" outlineLevel="0" collapsed="false">
      <c r="A7" s="22" t="n">
        <v>46027</v>
      </c>
      <c r="B7" s="23" t="s">
        <v>11</v>
      </c>
      <c r="C7" s="23" t="s">
        <v>36</v>
      </c>
      <c r="D7" s="24" t="n">
        <v>5000</v>
      </c>
      <c r="E7" s="23" t="s">
        <v>37</v>
      </c>
    </row>
    <row r="8" customFormat="false" ht="15" hidden="false" customHeight="false" outlineLevel="0" collapsed="false">
      <c r="A8" s="22" t="n">
        <v>46030</v>
      </c>
      <c r="B8" s="23" t="s">
        <v>11</v>
      </c>
      <c r="C8" s="23" t="s">
        <v>38</v>
      </c>
      <c r="D8" s="24" t="n">
        <v>1180</v>
      </c>
      <c r="E8" s="23" t="s">
        <v>37</v>
      </c>
    </row>
    <row r="9" customFormat="false" ht="15" hidden="false" customHeight="false" outlineLevel="0" collapsed="false">
      <c r="A9" s="22" t="n">
        <v>46034</v>
      </c>
      <c r="B9" s="23" t="s">
        <v>12</v>
      </c>
      <c r="C9" s="23" t="s">
        <v>39</v>
      </c>
      <c r="D9" s="24" t="n">
        <v>320</v>
      </c>
      <c r="E9" s="23" t="s">
        <v>40</v>
      </c>
    </row>
    <row r="10" customFormat="false" ht="15" hidden="false" customHeight="false" outlineLevel="0" collapsed="false">
      <c r="A10" s="22" t="n">
        <v>46040</v>
      </c>
      <c r="B10" s="23" t="s">
        <v>13</v>
      </c>
      <c r="C10" s="23" t="s">
        <v>41</v>
      </c>
      <c r="D10" s="24" t="n">
        <v>480</v>
      </c>
      <c r="E10" s="23" t="s">
        <v>42</v>
      </c>
    </row>
    <row r="11" customFormat="false" ht="15" hidden="false" customHeight="false" outlineLevel="0" collapsed="false">
      <c r="A11" s="22" t="n">
        <v>46044</v>
      </c>
      <c r="B11" s="23" t="s">
        <v>14</v>
      </c>
      <c r="C11" s="23" t="s">
        <v>43</v>
      </c>
      <c r="D11" s="24" t="n">
        <v>1250</v>
      </c>
      <c r="E11" s="23" t="s">
        <v>42</v>
      </c>
    </row>
    <row r="12" customFormat="false" ht="15" hidden="false" customHeight="false" outlineLevel="0" collapsed="false">
      <c r="A12" s="22" t="n">
        <v>46058</v>
      </c>
      <c r="B12" s="23" t="s">
        <v>11</v>
      </c>
      <c r="C12" s="23" t="s">
        <v>36</v>
      </c>
      <c r="D12" s="24" t="n">
        <v>5000</v>
      </c>
      <c r="E12" s="23" t="s">
        <v>37</v>
      </c>
    </row>
    <row r="13" customFormat="false" ht="15" hidden="false" customHeight="false" outlineLevel="0" collapsed="false">
      <c r="A13" s="22" t="n">
        <v>46063</v>
      </c>
      <c r="B13" s="23" t="s">
        <v>15</v>
      </c>
      <c r="C13" s="23" t="s">
        <v>44</v>
      </c>
      <c r="D13" s="24" t="n">
        <v>620</v>
      </c>
      <c r="E13" s="23" t="s">
        <v>40</v>
      </c>
    </row>
    <row r="14" customFormat="false" ht="15" hidden="false" customHeight="false" outlineLevel="0" collapsed="false">
      <c r="A14" s="22" t="n">
        <v>46069</v>
      </c>
      <c r="B14" s="23" t="s">
        <v>12</v>
      </c>
      <c r="C14" s="23" t="s">
        <v>45</v>
      </c>
      <c r="D14" s="24" t="n">
        <v>450</v>
      </c>
      <c r="E14" s="23" t="s">
        <v>42</v>
      </c>
    </row>
    <row r="15" customFormat="false" ht="15" hidden="false" customHeight="false" outlineLevel="0" collapsed="false">
      <c r="A15" s="22" t="n">
        <v>46073</v>
      </c>
      <c r="B15" s="23" t="s">
        <v>13</v>
      </c>
      <c r="C15" s="23" t="s">
        <v>41</v>
      </c>
      <c r="D15" s="24" t="n">
        <v>520</v>
      </c>
      <c r="E15" s="23" t="s">
        <v>42</v>
      </c>
    </row>
    <row r="16" customFormat="false" ht="15" hidden="false" customHeight="false" outlineLevel="0" collapsed="false">
      <c r="A16" s="22" t="n">
        <v>46078</v>
      </c>
      <c r="B16" s="23" t="s">
        <v>16</v>
      </c>
      <c r="C16" s="23" t="s">
        <v>46</v>
      </c>
      <c r="D16" s="24" t="n">
        <v>300</v>
      </c>
      <c r="E16" s="23" t="s">
        <v>40</v>
      </c>
    </row>
    <row r="17" customFormat="false" ht="15" hidden="false" customHeight="false" outlineLevel="0" collapsed="false">
      <c r="A17" s="22" t="n">
        <v>46086</v>
      </c>
      <c r="B17" s="23" t="s">
        <v>11</v>
      </c>
      <c r="C17" s="23" t="s">
        <v>36</v>
      </c>
      <c r="D17" s="24" t="n">
        <v>5000</v>
      </c>
      <c r="E17" s="23" t="s">
        <v>37</v>
      </c>
    </row>
    <row r="18" customFormat="false" ht="15" hidden="false" customHeight="false" outlineLevel="0" collapsed="false">
      <c r="A18" s="22" t="n">
        <v>46092</v>
      </c>
      <c r="B18" s="23" t="s">
        <v>14</v>
      </c>
      <c r="C18" s="23" t="s">
        <v>47</v>
      </c>
      <c r="D18" s="24" t="n">
        <v>549</v>
      </c>
      <c r="E18" s="23" t="s">
        <v>42</v>
      </c>
    </row>
    <row r="19" customFormat="false" ht="15" hidden="false" customHeight="false" outlineLevel="0" collapsed="false">
      <c r="A19" s="22" t="n">
        <v>46100</v>
      </c>
      <c r="B19" s="23" t="s">
        <v>12</v>
      </c>
      <c r="C19" s="23" t="s">
        <v>48</v>
      </c>
      <c r="D19" s="24" t="n">
        <v>400</v>
      </c>
      <c r="E19" s="23" t="s">
        <v>40</v>
      </c>
    </row>
    <row r="20" customFormat="false" ht="15" hidden="false" customHeight="false" outlineLevel="0" collapsed="false">
      <c r="A20" s="22" t="n">
        <v>46105</v>
      </c>
      <c r="B20" s="23" t="s">
        <v>13</v>
      </c>
      <c r="C20" s="23" t="s">
        <v>41</v>
      </c>
      <c r="D20" s="24" t="n">
        <v>510</v>
      </c>
      <c r="E20" s="23" t="s">
        <v>42</v>
      </c>
    </row>
    <row r="21" customFormat="false" ht="15" hidden="false" customHeight="false" outlineLevel="0" collapsed="false">
      <c r="A21" s="25"/>
      <c r="B21" s="26"/>
      <c r="C21" s="26"/>
      <c r="D21" s="27"/>
      <c r="E21" s="26"/>
    </row>
    <row r="22" customFormat="false" ht="15" hidden="false" customHeight="false" outlineLevel="0" collapsed="false">
      <c r="A22" s="25"/>
      <c r="B22" s="26"/>
      <c r="C22" s="26"/>
      <c r="D22" s="27"/>
      <c r="E22" s="26"/>
    </row>
    <row r="23" customFormat="false" ht="15" hidden="false" customHeight="false" outlineLevel="0" collapsed="false">
      <c r="A23" s="25"/>
      <c r="B23" s="26"/>
      <c r="C23" s="26"/>
      <c r="D23" s="27"/>
      <c r="E23" s="26"/>
    </row>
    <row r="24" customFormat="false" ht="15" hidden="false" customHeight="false" outlineLevel="0" collapsed="false">
      <c r="A24" s="25"/>
      <c r="B24" s="26"/>
      <c r="C24" s="26"/>
      <c r="D24" s="27"/>
      <c r="E24" s="26"/>
    </row>
    <row r="25" customFormat="false" ht="15" hidden="false" customHeight="false" outlineLevel="0" collapsed="false">
      <c r="A25" s="25"/>
      <c r="B25" s="26"/>
      <c r="C25" s="26"/>
      <c r="D25" s="27"/>
      <c r="E25" s="26"/>
    </row>
    <row r="26" customFormat="false" ht="15" hidden="false" customHeight="false" outlineLevel="0" collapsed="false">
      <c r="A26" s="25"/>
      <c r="B26" s="26"/>
      <c r="C26" s="26"/>
      <c r="D26" s="27"/>
      <c r="E26" s="26"/>
    </row>
    <row r="27" customFormat="false" ht="15" hidden="false" customHeight="false" outlineLevel="0" collapsed="false">
      <c r="A27" s="25"/>
      <c r="B27" s="26"/>
      <c r="C27" s="26"/>
      <c r="D27" s="27"/>
      <c r="E27" s="26"/>
    </row>
    <row r="28" customFormat="false" ht="15" hidden="false" customHeight="false" outlineLevel="0" collapsed="false">
      <c r="A28" s="25"/>
      <c r="B28" s="26"/>
      <c r="C28" s="26"/>
      <c r="D28" s="27"/>
      <c r="E28" s="26"/>
    </row>
    <row r="29" customFormat="false" ht="15" hidden="false" customHeight="false" outlineLevel="0" collapsed="false">
      <c r="A29" s="25"/>
      <c r="B29" s="26"/>
      <c r="C29" s="26"/>
      <c r="D29" s="27"/>
      <c r="E29" s="26"/>
    </row>
    <row r="30" customFormat="false" ht="15" hidden="false" customHeight="false" outlineLevel="0" collapsed="false">
      <c r="A30" s="25"/>
      <c r="B30" s="26"/>
      <c r="C30" s="26"/>
      <c r="D30" s="27"/>
      <c r="E30" s="26"/>
    </row>
    <row r="31" customFormat="false" ht="15" hidden="false" customHeight="false" outlineLevel="0" collapsed="false">
      <c r="A31" s="25"/>
      <c r="B31" s="26"/>
      <c r="C31" s="26"/>
      <c r="D31" s="27"/>
      <c r="E31" s="26"/>
    </row>
    <row r="32" customFormat="false" ht="15" hidden="false" customHeight="false" outlineLevel="0" collapsed="false">
      <c r="A32" s="25"/>
      <c r="B32" s="26"/>
      <c r="C32" s="26"/>
      <c r="D32" s="27"/>
      <c r="E32" s="26"/>
    </row>
    <row r="33" customFormat="false" ht="15" hidden="false" customHeight="false" outlineLevel="0" collapsed="false">
      <c r="A33" s="25"/>
      <c r="B33" s="26"/>
      <c r="C33" s="26"/>
      <c r="D33" s="27"/>
      <c r="E33" s="26"/>
    </row>
    <row r="34" customFormat="false" ht="15" hidden="false" customHeight="false" outlineLevel="0" collapsed="false">
      <c r="A34" s="25"/>
      <c r="B34" s="26"/>
      <c r="C34" s="26"/>
      <c r="D34" s="27"/>
      <c r="E34" s="26"/>
    </row>
    <row r="35" customFormat="false" ht="15" hidden="false" customHeight="false" outlineLevel="0" collapsed="false">
      <c r="A35" s="25"/>
      <c r="B35" s="26"/>
      <c r="C35" s="26"/>
      <c r="D35" s="27"/>
      <c r="E35" s="26"/>
    </row>
    <row r="36" customFormat="false" ht="15" hidden="false" customHeight="false" outlineLevel="0" collapsed="false">
      <c r="A36" s="25"/>
      <c r="B36" s="26"/>
      <c r="C36" s="26"/>
      <c r="D36" s="27"/>
      <c r="E36" s="26"/>
    </row>
    <row r="37" customFormat="false" ht="15" hidden="false" customHeight="false" outlineLevel="0" collapsed="false">
      <c r="A37" s="25"/>
      <c r="B37" s="26"/>
      <c r="C37" s="26"/>
      <c r="D37" s="27"/>
      <c r="E37" s="26"/>
    </row>
    <row r="38" customFormat="false" ht="15" hidden="false" customHeight="false" outlineLevel="0" collapsed="false">
      <c r="A38" s="25"/>
      <c r="B38" s="26"/>
      <c r="C38" s="26"/>
      <c r="D38" s="27"/>
      <c r="E38" s="26"/>
    </row>
    <row r="39" customFormat="false" ht="15" hidden="false" customHeight="false" outlineLevel="0" collapsed="false">
      <c r="A39" s="25"/>
      <c r="B39" s="26"/>
      <c r="C39" s="26"/>
      <c r="D39" s="27"/>
      <c r="E39" s="26"/>
    </row>
    <row r="40" customFormat="false" ht="15" hidden="false" customHeight="false" outlineLevel="0" collapsed="false">
      <c r="A40" s="25"/>
      <c r="B40" s="26"/>
      <c r="C40" s="26"/>
      <c r="D40" s="27"/>
      <c r="E40" s="26"/>
    </row>
    <row r="41" customFormat="false" ht="15" hidden="false" customHeight="false" outlineLevel="0" collapsed="false">
      <c r="A41" s="25"/>
      <c r="B41" s="26"/>
      <c r="C41" s="26"/>
      <c r="D41" s="27"/>
      <c r="E41" s="26"/>
    </row>
    <row r="42" customFormat="false" ht="15" hidden="false" customHeight="false" outlineLevel="0" collapsed="false">
      <c r="A42" s="25"/>
      <c r="B42" s="26"/>
      <c r="C42" s="26"/>
      <c r="D42" s="27"/>
      <c r="E42" s="26"/>
    </row>
    <row r="43" customFormat="false" ht="15" hidden="false" customHeight="false" outlineLevel="0" collapsed="false">
      <c r="A43" s="25"/>
      <c r="B43" s="26"/>
      <c r="C43" s="26"/>
      <c r="D43" s="27"/>
      <c r="E43" s="26"/>
    </row>
    <row r="44" customFormat="false" ht="15" hidden="false" customHeight="false" outlineLevel="0" collapsed="false">
      <c r="A44" s="25"/>
      <c r="B44" s="26"/>
      <c r="C44" s="26"/>
      <c r="D44" s="27"/>
      <c r="E44" s="26"/>
    </row>
    <row r="45" customFormat="false" ht="15" hidden="false" customHeight="false" outlineLevel="0" collapsed="false">
      <c r="A45" s="25"/>
      <c r="B45" s="26"/>
      <c r="C45" s="26"/>
      <c r="D45" s="27"/>
      <c r="E45" s="26"/>
    </row>
    <row r="46" customFormat="false" ht="15" hidden="false" customHeight="false" outlineLevel="0" collapsed="false">
      <c r="A46" s="25"/>
      <c r="B46" s="26"/>
      <c r="C46" s="26"/>
      <c r="D46" s="27"/>
      <c r="E46" s="26"/>
    </row>
    <row r="47" customFormat="false" ht="15" hidden="false" customHeight="false" outlineLevel="0" collapsed="false">
      <c r="A47" s="25"/>
      <c r="B47" s="26"/>
      <c r="C47" s="26"/>
      <c r="D47" s="27"/>
      <c r="E47" s="26"/>
    </row>
    <row r="48" customFormat="false" ht="15" hidden="false" customHeight="false" outlineLevel="0" collapsed="false">
      <c r="A48" s="25"/>
      <c r="B48" s="26"/>
      <c r="C48" s="26"/>
      <c r="D48" s="27"/>
      <c r="E48" s="26"/>
    </row>
  </sheetData>
  <dataValidations count="2">
    <dataValidation allowBlank="true" errorStyle="stop" operator="between" showDropDown="false" showErrorMessage="false" showInputMessage="false" sqref="B5:B48" type="list">
      <formula1>"Living Expenses,Dining Out,Transport,Discretionary,Medical,Charity"</formula1>
      <formula2>0</formula2>
    </dataValidation>
    <dataValidation allowBlank="true" errorStyle="stop" operator="between" showDropDown="false" showErrorMessage="false" showInputMessage="false" sqref="E5:E48" type="list">
      <formula1>"Cash,GCash,Bank Transfer,Credit Card,Debit Card"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</cols>
  <sheetData>
    <row r="1" customFormat="false" ht="26.8" hidden="false" customHeight="false" outlineLevel="0" collapsed="false">
      <c r="A1" s="20" t="s">
        <v>49</v>
      </c>
    </row>
    <row r="2" customFormat="false" ht="15" hidden="false" customHeight="false" outlineLevel="0" collapsed="false">
      <c r="A2" s="21" t="s">
        <v>50</v>
      </c>
    </row>
    <row r="4" customFormat="false" ht="15" hidden="false" customHeight="false" outlineLevel="0" collapsed="false">
      <c r="A4" s="13" t="s">
        <v>6</v>
      </c>
      <c r="B4" s="13" t="s">
        <v>49</v>
      </c>
    </row>
    <row r="5" customFormat="false" ht="15" hidden="false" customHeight="false" outlineLevel="0" collapsed="false">
      <c r="A5" s="26" t="s">
        <v>11</v>
      </c>
      <c r="B5" s="24" t="n">
        <v>6500</v>
      </c>
    </row>
    <row r="6" customFormat="false" ht="15" hidden="false" customHeight="false" outlineLevel="0" collapsed="false">
      <c r="A6" s="26" t="s">
        <v>12</v>
      </c>
      <c r="B6" s="24" t="n">
        <v>1000</v>
      </c>
    </row>
    <row r="7" customFormat="false" ht="15" hidden="false" customHeight="false" outlineLevel="0" collapsed="false">
      <c r="A7" s="26" t="s">
        <v>13</v>
      </c>
      <c r="B7" s="24" t="n">
        <v>1200</v>
      </c>
    </row>
    <row r="8" customFormat="false" ht="15" hidden="false" customHeight="false" outlineLevel="0" collapsed="false">
      <c r="A8" s="26" t="s">
        <v>14</v>
      </c>
      <c r="B8" s="24" t="n">
        <v>1500</v>
      </c>
    </row>
    <row r="9" customFormat="false" ht="15" hidden="false" customHeight="false" outlineLevel="0" collapsed="false">
      <c r="A9" s="26" t="s">
        <v>15</v>
      </c>
      <c r="B9" s="24" t="n">
        <v>800</v>
      </c>
    </row>
    <row r="10" customFormat="false" ht="15" hidden="false" customHeight="false" outlineLevel="0" collapsed="false">
      <c r="A10" s="26" t="s">
        <v>16</v>
      </c>
      <c r="B10" s="24" t="n">
        <v>400</v>
      </c>
    </row>
    <row r="11" customFormat="false" ht="15" hidden="false" customHeight="false" outlineLevel="0" collapsed="false">
      <c r="A11" s="17" t="s">
        <v>51</v>
      </c>
      <c r="B11" s="28" t="n">
        <f aca="false">SUM(B5:B10)</f>
        <v>11400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2026-09-17T01:38:39Z</dcterms:created>
  <dc:creator>openpyxl</dc:creator>
  <dc:description/>
  <dc:language>en-US</dc:language>
  <cp:lastModifiedBy/>
  <dcterms:modified xsi:type="dcterms:W3CDTF">2026-09-17T01:38:40Z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