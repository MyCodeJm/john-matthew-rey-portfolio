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M\Downloads\john-portfolio\john-portfolio\"/>
    </mc:Choice>
  </mc:AlternateContent>
  <xr:revisionPtr revIDLastSave="0" documentId="13_ncr:1_{FC7DF6C4-6EC6-4E65-B780-23BEBB06375D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Dashboard" sheetId="1" r:id="rId1"/>
    <sheet name="Sheet" sheetId="2" r:id="rId2"/>
    <sheet name="Income" sheetId="3" r:id="rId3"/>
    <sheet name="Expenses" sheetId="4" r:id="rId4"/>
    <sheet name="Budget" sheetId="5" r:id="rId5"/>
  </sheets>
  <definedNames>
    <definedName name="_xlnm.Print_Area" localSheetId="0">Dashboard!$A$1:$Q$58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" i="1" l="1"/>
  <c r="B11" i="5"/>
  <c r="D24" i="1"/>
  <c r="D23" i="1"/>
  <c r="D22" i="1"/>
  <c r="D21" i="1"/>
  <c r="D20" i="1"/>
  <c r="D19" i="1"/>
  <c r="D25" i="1" s="1"/>
  <c r="T2" i="1"/>
  <c r="T4" i="1" l="1"/>
  <c r="T6" i="1"/>
  <c r="T5" i="1"/>
  <c r="B30" i="1" l="1"/>
  <c r="C30" i="1"/>
  <c r="D30" i="1"/>
  <c r="B31" i="1"/>
  <c r="D31" i="1"/>
  <c r="C31" i="1"/>
  <c r="B29" i="1"/>
  <c r="C24" i="1"/>
  <c r="C23" i="1"/>
  <c r="C22" i="1"/>
  <c r="C21" i="1"/>
  <c r="C20" i="1"/>
  <c r="C19" i="1"/>
  <c r="E7" i="1"/>
  <c r="C29" i="1"/>
  <c r="B11" i="1"/>
  <c r="B7" i="1"/>
  <c r="B4" i="1"/>
  <c r="D29" i="1"/>
  <c r="E11" i="1"/>
  <c r="E31" i="1" l="1"/>
  <c r="F20" i="1"/>
  <c r="E20" i="1"/>
  <c r="E29" i="1"/>
  <c r="F22" i="1"/>
  <c r="E22" i="1"/>
  <c r="E30" i="1"/>
  <c r="F24" i="1"/>
  <c r="E24" i="1"/>
  <c r="F21" i="1"/>
  <c r="E21" i="1"/>
  <c r="B14" i="1"/>
  <c r="C25" i="1"/>
  <c r="F25" i="1" s="1"/>
  <c r="F19" i="1"/>
  <c r="E19" i="1"/>
  <c r="F23" i="1"/>
  <c r="E23" i="1"/>
  <c r="E25" i="1" l="1"/>
</calcChain>
</file>

<file path=xl/sharedStrings.xml><?xml version="1.0" encoding="utf-8"?>
<sst xmlns="http://schemas.openxmlformats.org/spreadsheetml/2006/main" count="109" uniqueCount="52">
  <si>
    <t>My Money Dashboard</t>
  </si>
  <si>
    <t>MONEY IN</t>
  </si>
  <si>
    <t>MONEY OUT</t>
  </si>
  <si>
    <t>SAVED</t>
  </si>
  <si>
    <t>VS BUDGET</t>
  </si>
  <si>
    <t>Where the money went</t>
  </si>
  <si>
    <t>Category</t>
  </si>
  <si>
    <t>Spent</t>
  </si>
  <si>
    <t>Budget</t>
  </si>
  <si>
    <t>Left over</t>
  </si>
  <si>
    <t>% of spending</t>
  </si>
  <si>
    <t>Living Expenses</t>
  </si>
  <si>
    <t>Dining Out</t>
  </si>
  <si>
    <t>Transport</t>
  </si>
  <si>
    <t>Discretionary</t>
  </si>
  <si>
    <t>Medical</t>
  </si>
  <si>
    <t>Charity</t>
  </si>
  <si>
    <t>Total</t>
  </si>
  <si>
    <t>Month by month</t>
  </si>
  <si>
    <t>Month</t>
  </si>
  <si>
    <t>Money In</t>
  </si>
  <si>
    <t>Money Out</t>
  </si>
  <si>
    <t>Saved</t>
  </si>
  <si>
    <t>Income Log</t>
  </si>
  <si>
    <t>Add one row each time you receive money. The dashboard updates itself.</t>
  </si>
  <si>
    <t>Date</t>
  </si>
  <si>
    <t>Source</t>
  </si>
  <si>
    <t>Description</t>
  </si>
  <si>
    <t>Amount</t>
  </si>
  <si>
    <t>Salary</t>
  </si>
  <si>
    <t>Monthly salary</t>
  </si>
  <si>
    <t>Dividends</t>
  </si>
  <si>
    <t>Investment dividend</t>
  </si>
  <si>
    <t>Expense Log</t>
  </si>
  <si>
    <t>Add one row each time you spend. Category and Payment Method are dropdowns.</t>
  </si>
  <si>
    <t>Payment Method</t>
  </si>
  <si>
    <t>Room rent</t>
  </si>
  <si>
    <t>Bank Transfer</t>
  </si>
  <si>
    <t>Meralco electric bill</t>
  </si>
  <si>
    <t>Lunch with officemates</t>
  </si>
  <si>
    <t>Cash</t>
  </si>
  <si>
    <t>Grab to work</t>
  </si>
  <si>
    <t>GCash</t>
  </si>
  <si>
    <t>Shopee order</t>
  </si>
  <si>
    <t>Vitamins &amp; meds</t>
  </si>
  <si>
    <t>Dinner out</t>
  </si>
  <si>
    <t>Church donation</t>
  </si>
  <si>
    <t>Streaming subscription</t>
  </si>
  <si>
    <t>Birthday treat</t>
  </si>
  <si>
    <t>Monthly Budget</t>
  </si>
  <si>
    <t>Set how much you plan to spend per month in each category. Edit the blue column only.</t>
  </si>
  <si>
    <t>Total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</si>
</sst>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₱#,##0;&quot;(₱&quot;#,##0\)"/>
    <numFmt numFmtId="166" formatCode="\₱#,##0.00;&quot;(₱&quot;#,##0.00\)"/>
  </numFmts>
  <fonts count="13" x14ac:knownFonts="1">
    <font>
      <sz val="11"/>
      <color theme="1"/>
      <name val="Calibri"/>
      <family val="2"/>
      <charset val="1"/>
    </font>
    <font>
      <b/>
      <sz val="22"/>
      <color rgb="FF3D3528"/>
      <name val="Calibri"/>
      <family val="2"/>
    </font>
    <font>
      <sz val="10"/>
      <color rgb="FF8A7F6D"/>
      <name val="Calibri"/>
      <family val="2"/>
    </font>
    <font>
      <b/>
      <sz val="9"/>
      <color rgb="FF8A7F6D"/>
      <name val="Calibri"/>
      <family val="2"/>
    </font>
    <font>
      <b/>
      <sz val="20"/>
      <color rgb="FF3D3528"/>
      <name val="Calibri"/>
      <family val="2"/>
    </font>
    <font>
      <i/>
      <sz val="10"/>
      <color rgb="FF3D3528"/>
      <name val="Calibri"/>
      <family val="2"/>
    </font>
    <font>
      <b/>
      <sz val="12"/>
      <color rgb="FF3D3528"/>
      <name val="Calibri"/>
      <family val="2"/>
    </font>
    <font>
      <b/>
      <sz val="10"/>
      <color rgb="FFFFFFFF"/>
      <name val="Calibri"/>
      <family val="2"/>
    </font>
    <font>
      <sz val="10"/>
      <color rgb="FF3D3528"/>
      <name val="Calibri"/>
      <family val="2"/>
    </font>
    <font>
      <b/>
      <sz val="10"/>
      <color rgb="FF3D3528"/>
      <name val="Calibri"/>
      <family val="2"/>
    </font>
    <font>
      <sz val="10"/>
      <color rgb="FF0000CC"/>
      <name val="Calibri"/>
      <family val="2"/>
    </font>
    <font>
      <sz val="11"/>
      <color theme="0"/>
      <name val="Calibri"/>
      <family val="2"/>
      <charset val="1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5EFE3"/>
        <bgColor rgb="FFFFFFFF"/>
      </patternFill>
    </fill>
    <fill>
      <patternFill patternType="solid">
        <fgColor rgb="FFC9D8C2"/>
        <bgColor rgb="FFD9CFBA"/>
      </patternFill>
    </fill>
    <fill>
      <patternFill patternType="solid">
        <fgColor rgb="FFE5D3B8"/>
        <bgColor rgb="FFD9CFBA"/>
      </patternFill>
    </fill>
    <fill>
      <patternFill patternType="solid">
        <fgColor rgb="FFE8DFC9"/>
        <bgColor rgb="FFD9D9D9"/>
      </patternFill>
    </fill>
    <fill>
      <patternFill patternType="solid">
        <fgColor rgb="FF7E9B76"/>
        <bgColor rgb="FF878787"/>
      </patternFill>
    </fill>
  </fills>
  <borders count="10">
    <border>
      <left/>
      <right/>
      <top/>
      <bottom/>
      <diagonal/>
    </border>
    <border>
      <left style="thin">
        <color rgb="FFD9CFBA"/>
      </left>
      <right style="thin">
        <color rgb="FFD9CFBA"/>
      </right>
      <top style="thin">
        <color rgb="FFD9CFBA"/>
      </top>
      <bottom style="thin">
        <color rgb="FFD9CFBA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7" fillId="6" borderId="0" xfId="0" applyFont="1" applyFill="1" applyAlignment="1">
      <alignment horizontal="center"/>
    </xf>
    <xf numFmtId="0" fontId="9" fillId="5" borderId="1" xfId="0" applyFont="1" applyFill="1" applyBorder="1"/>
    <xf numFmtId="0" fontId="1" fillId="0" borderId="0" xfId="0" applyFont="1"/>
    <xf numFmtId="0" fontId="2" fillId="0" borderId="0" xfId="0" applyFont="1"/>
    <xf numFmtId="164" fontId="10" fillId="0" borderId="1" xfId="0" applyNumberFormat="1" applyFont="1" applyBorder="1"/>
    <xf numFmtId="0" fontId="10" fillId="0" borderId="1" xfId="0" applyFont="1" applyBorder="1"/>
    <xf numFmtId="166" fontId="10" fillId="0" borderId="1" xfId="0" applyNumberFormat="1" applyFont="1" applyBorder="1"/>
    <xf numFmtId="164" fontId="8" fillId="0" borderId="1" xfId="0" applyNumberFormat="1" applyFont="1" applyBorder="1"/>
    <xf numFmtId="0" fontId="8" fillId="0" borderId="1" xfId="0" applyFont="1" applyBorder="1"/>
    <xf numFmtId="166" fontId="8" fillId="0" borderId="1" xfId="0" applyNumberFormat="1" applyFont="1" applyBorder="1"/>
    <xf numFmtId="166" fontId="9" fillId="5" borderId="1" xfId="0" applyNumberFormat="1" applyFont="1" applyFill="1" applyBorder="1"/>
    <xf numFmtId="0" fontId="11" fillId="2" borderId="0" xfId="0" applyFont="1" applyFill="1"/>
    <xf numFmtId="164" fontId="11" fillId="2" borderId="0" xfId="0" applyNumberFormat="1" applyFont="1" applyFill="1"/>
    <xf numFmtId="0" fontId="0" fillId="2" borderId="0" xfId="0" applyFill="1" applyBorder="1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/>
    <xf numFmtId="0" fontId="3" fillId="3" borderId="0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165" fontId="4" fillId="3" borderId="0" xfId="0" applyNumberFormat="1" applyFont="1" applyFill="1" applyBorder="1" applyAlignment="1">
      <alignment horizontal="center" vertical="center"/>
    </xf>
    <xf numFmtId="165" fontId="4" fillId="4" borderId="0" xfId="0" applyNumberFormat="1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/>
    </xf>
    <xf numFmtId="165" fontId="4" fillId="5" borderId="0" xfId="0" applyNumberFormat="1" applyFont="1" applyFill="1" applyBorder="1" applyAlignment="1">
      <alignment horizontal="center" vertical="center"/>
    </xf>
    <xf numFmtId="0" fontId="5" fillId="2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horizontal="center"/>
    </xf>
    <xf numFmtId="165" fontId="8" fillId="2" borderId="0" xfId="0" applyNumberFormat="1" applyFont="1" applyFill="1" applyBorder="1"/>
    <xf numFmtId="9" fontId="8" fillId="2" borderId="0" xfId="0" applyNumberFormat="1" applyFont="1" applyFill="1" applyBorder="1"/>
    <xf numFmtId="165" fontId="9" fillId="5" borderId="0" xfId="0" applyNumberFormat="1" applyFont="1" applyFill="1" applyBorder="1"/>
    <xf numFmtId="9" fontId="9" fillId="5" borderId="0" xfId="0" applyNumberFormat="1" applyFont="1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vertical="center"/>
    </xf>
    <xf numFmtId="0" fontId="0" fillId="2" borderId="6" xfId="0" applyFill="1" applyBorder="1"/>
    <xf numFmtId="0" fontId="2" fillId="2" borderId="5" xfId="0" applyFont="1" applyFill="1" applyBorder="1"/>
    <xf numFmtId="0" fontId="0" fillId="2" borderId="5" xfId="0" applyFill="1" applyBorder="1"/>
    <xf numFmtId="0" fontId="3" fillId="3" borderId="5" xfId="0" applyFont="1" applyFill="1" applyBorder="1" applyAlignment="1">
      <alignment horizontal="center"/>
    </xf>
    <xf numFmtId="165" fontId="4" fillId="3" borderId="5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/>
    </xf>
    <xf numFmtId="165" fontId="4" fillId="5" borderId="5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top" wrapText="1"/>
    </xf>
    <xf numFmtId="0" fontId="6" fillId="2" borderId="5" xfId="0" applyFont="1" applyFill="1" applyBorder="1"/>
    <xf numFmtId="0" fontId="7" fillId="6" borderId="5" xfId="0" applyFont="1" applyFill="1" applyBorder="1" applyAlignment="1">
      <alignment horizontal="center"/>
    </xf>
    <xf numFmtId="0" fontId="8" fillId="2" borderId="5" xfId="0" applyFont="1" applyFill="1" applyBorder="1"/>
    <xf numFmtId="0" fontId="9" fillId="5" borderId="5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164" fontId="12" fillId="0" borderId="1" xfId="0" applyNumberFormat="1" applyFont="1" applyBorder="1"/>
    <xf numFmtId="0" fontId="12" fillId="0" borderId="1" xfId="0" applyFont="1" applyBorder="1"/>
    <xf numFmtId="166" fontId="12" fillId="0" borderId="1" xfId="0" applyNumberFormat="1" applyFont="1" applyBorder="1"/>
  </cellXfs>
  <cellStyles count="1">
    <cellStyle name="Normal" xfId="0" builtinId="0"/>
  </cellStyles>
  <dxfs count="4">
    <dxf>
      <font>
        <b/>
        <color rgb="FF4F7043"/>
      </font>
    </dxf>
    <dxf>
      <font>
        <b/>
        <color rgb="FFB3453A"/>
      </font>
    </dxf>
    <dxf>
      <font>
        <b/>
        <color rgb="FF4F7043"/>
      </font>
    </dxf>
    <dxf>
      <font>
        <b/>
        <color rgb="FFB3453A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BA"/>
      <rgbColor rgb="FF878787"/>
      <rgbColor rgb="FF9999FF"/>
      <rgbColor rgb="FFB3453A"/>
      <rgbColor rgb="FFF5EFE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DFC9"/>
      <rgbColor rgb="FFFFFF99"/>
      <rgbColor rgb="FFC9D8C2"/>
      <rgbColor rgb="FFC8A87C"/>
      <rgbColor rgb="FFCC99FF"/>
      <rgbColor rgb="FFE5D3B8"/>
      <rgbColor rgb="FF3366FF"/>
      <rgbColor rgb="FF33CCCC"/>
      <rgbColor rgb="FF99CC00"/>
      <rgbColor rgb="FFFFCC00"/>
      <rgbColor rgb="FFFF9900"/>
      <rgbColor rgb="FFFF6600"/>
      <rgbColor rgb="FF8A7F6D"/>
      <rgbColor rgb="FF7E9B76"/>
      <rgbColor rgb="FF003366"/>
      <rgbColor rgb="FF4F7043"/>
      <rgbColor rgb="FF003300"/>
      <rgbColor rgb="FF333300"/>
      <rgbColor rgb="FF993300"/>
      <rgbColor rgb="FF993366"/>
      <rgbColor rgb="FF333399"/>
      <rgbColor rgb="FF3D352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Money In vs Money Out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Dashboard!$C$28</c:f>
              <c:strCache>
                <c:ptCount val="1"/>
                <c:pt idx="0">
                  <c:v>Money In</c:v>
                </c:pt>
              </c:strCache>
            </c:strRef>
          </c:tx>
          <c:spPr>
            <a:solidFill>
              <a:srgbClr val="7E9B7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Dashboard!$B$29:$B$31</c:f>
              <c:strCache>
                <c:ptCount val="3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</c:strCache>
            </c:strRef>
          </c:cat>
          <c:val>
            <c:numRef>
              <c:f>Dashboard!$C$29:$C$31</c:f>
              <c:numCache>
                <c:formatCode>\₱#,##0;"(₱"#,##0\)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2A-411A-8385-7736DE2025CE}"/>
            </c:ext>
          </c:extLst>
        </c:ser>
        <c:ser>
          <c:idx val="1"/>
          <c:order val="1"/>
          <c:tx>
            <c:strRef>
              <c:f>Dashboard!$D$28</c:f>
              <c:strCache>
                <c:ptCount val="1"/>
                <c:pt idx="0">
                  <c:v>Money Out</c:v>
                </c:pt>
              </c:strCache>
            </c:strRef>
          </c:tx>
          <c:spPr>
            <a:solidFill>
              <a:srgbClr val="C8A87C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Dashboard!$B$29:$B$31</c:f>
              <c:strCache>
                <c:ptCount val="3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</c:strCache>
            </c:strRef>
          </c:cat>
          <c:val>
            <c:numRef>
              <c:f>Dashboard!$D$29:$D$31</c:f>
              <c:numCache>
                <c:formatCode>\₱#,##0;"(₱"#,##0\)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2A-411A-8385-7736DE202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71608510"/>
        <c:axId val="62395687"/>
      </c:barChart>
      <c:catAx>
        <c:axId val="716085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395687"/>
        <c:crosses val="autoZero"/>
        <c:auto val="1"/>
        <c:lblAlgn val="ctr"/>
        <c:lblOffset val="100"/>
        <c:noMultiLvlLbl val="0"/>
      </c:catAx>
      <c:valAx>
        <c:axId val="6239568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608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Spending by Category vs Budget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Dashboard!$C$18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C8A87C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Dashboard!$B$19:$B$24</c:f>
              <c:strCache>
                <c:ptCount val="6"/>
                <c:pt idx="0">
                  <c:v>Living Expenses</c:v>
                </c:pt>
                <c:pt idx="1">
                  <c:v>Dining Out</c:v>
                </c:pt>
                <c:pt idx="2">
                  <c:v>Transport</c:v>
                </c:pt>
                <c:pt idx="3">
                  <c:v>Discretionary</c:v>
                </c:pt>
                <c:pt idx="4">
                  <c:v>Medical</c:v>
                </c:pt>
                <c:pt idx="5">
                  <c:v>Charity</c:v>
                </c:pt>
              </c:strCache>
            </c:strRef>
          </c:cat>
          <c:val>
            <c:numRef>
              <c:f>Dashboard!$C$19:$C$24</c:f>
              <c:numCache>
                <c:formatCode>\₱#,##0;"(₱"#,##0\)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6-4F9A-8D7F-D12FC3AD5E6B}"/>
            </c:ext>
          </c:extLst>
        </c:ser>
        <c:ser>
          <c:idx val="1"/>
          <c:order val="1"/>
          <c:tx>
            <c:strRef>
              <c:f>Dashboard!$D$18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5D3B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Dashboard!$B$19:$B$24</c:f>
              <c:strCache>
                <c:ptCount val="6"/>
                <c:pt idx="0">
                  <c:v>Living Expenses</c:v>
                </c:pt>
                <c:pt idx="1">
                  <c:v>Dining Out</c:v>
                </c:pt>
                <c:pt idx="2">
                  <c:v>Transport</c:v>
                </c:pt>
                <c:pt idx="3">
                  <c:v>Discretionary</c:v>
                </c:pt>
                <c:pt idx="4">
                  <c:v>Medical</c:v>
                </c:pt>
                <c:pt idx="5">
                  <c:v>Charity</c:v>
                </c:pt>
              </c:strCache>
            </c:strRef>
          </c:cat>
          <c:val>
            <c:numRef>
              <c:f>Dashboard!$D$19:$D$24</c:f>
              <c:numCache>
                <c:formatCode>\₱#,##0;"(₱"#,##0\)</c:formatCode>
                <c:ptCount val="6"/>
                <c:pt idx="0">
                  <c:v>19500</c:v>
                </c:pt>
                <c:pt idx="1">
                  <c:v>3000</c:v>
                </c:pt>
                <c:pt idx="2">
                  <c:v>3600</c:v>
                </c:pt>
                <c:pt idx="3">
                  <c:v>4500</c:v>
                </c:pt>
                <c:pt idx="4">
                  <c:v>2400</c:v>
                </c:pt>
                <c:pt idx="5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A6-4F9A-8D7F-D12FC3AD5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1586932"/>
        <c:axId val="27034398"/>
      </c:barChart>
      <c:catAx>
        <c:axId val="515869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034398"/>
        <c:crosses val="autoZero"/>
        <c:auto val="1"/>
        <c:lblAlgn val="ctr"/>
        <c:lblOffset val="100"/>
        <c:noMultiLvlLbl val="0"/>
      </c:catAx>
      <c:valAx>
        <c:axId val="2703439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586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Saved Each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Dashboard!$E$28</c:f>
              <c:strCache>
                <c:ptCount val="1"/>
                <c:pt idx="0">
                  <c:v>Saved</c:v>
                </c:pt>
              </c:strCache>
            </c:strRef>
          </c:tx>
          <c:spPr>
            <a:solidFill>
              <a:srgbClr val="7E9B7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Dashboard!$B$29:$B$31</c:f>
              <c:strCache>
                <c:ptCount val="3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</c:strCache>
            </c:strRef>
          </c:cat>
          <c:val>
            <c:numRef>
              <c:f>Dashboard!$E$29:$E$31</c:f>
              <c:numCache>
                <c:formatCode>\₱#,##0;"(₱"#,##0\)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9-420D-BF7C-ADB2DA314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6014678"/>
        <c:axId val="23219491"/>
      </c:barChart>
      <c:catAx>
        <c:axId val="760146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219491"/>
        <c:crosses val="autoZero"/>
        <c:auto val="1"/>
        <c:lblAlgn val="ctr"/>
        <c:lblOffset val="100"/>
        <c:noMultiLvlLbl val="0"/>
      </c:catAx>
      <c:valAx>
        <c:axId val="232194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0146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14</xdr:col>
      <xdr:colOff>465840</xdr:colOff>
      <xdr:row>21</xdr:row>
      <xdr:rowOff>11520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14</xdr:col>
      <xdr:colOff>465840</xdr:colOff>
      <xdr:row>39</xdr:row>
      <xdr:rowOff>11520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16710</xdr:colOff>
      <xdr:row>40</xdr:row>
      <xdr:rowOff>16710</xdr:rowOff>
    </xdr:from>
    <xdr:to>
      <xdr:col>14</xdr:col>
      <xdr:colOff>482550</xdr:colOff>
      <xdr:row>53</xdr:row>
      <xdr:rowOff>59911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comeTable" displayName="IncomeTable" ref="A4:D34" totalsRowShown="0">
  <autoFilter ref="A4:D34" xr:uid="{00000000-0009-0000-0100-000002000000}"/>
  <tableColumns count="4">
    <tableColumn id="1" xr3:uid="{00000000-0010-0000-0000-000001000000}" name="Date"/>
    <tableColumn id="2" xr3:uid="{00000000-0010-0000-0000-000002000000}" name="Source"/>
    <tableColumn id="3" xr3:uid="{00000000-0010-0000-0000-000003000000}" name="Description"/>
    <tableColumn id="4" xr3:uid="{00000000-0010-0000-0000-000004000000}" name="Amou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ExpenseTable" displayName="ExpenseTable" ref="A4:E48" totalsRowShown="0">
  <autoFilter ref="A4:E48" xr:uid="{00000000-0009-0000-0100-000001000000}"/>
  <tableColumns count="5">
    <tableColumn id="1" xr3:uid="{00000000-0010-0000-0100-000001000000}" name="Date"/>
    <tableColumn id="2" xr3:uid="{00000000-0010-0000-0100-000002000000}" name="Category"/>
    <tableColumn id="3" xr3:uid="{00000000-0010-0000-0100-000003000000}" name="Description"/>
    <tableColumn id="4" xr3:uid="{00000000-0010-0000-0100-000004000000}" name="Amount"/>
    <tableColumn id="5" xr3:uid="{00000000-0010-0000-0100-000005000000}" name="Payment Metho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3528"/>
    <pageSetUpPr fitToPage="1"/>
  </sheetPr>
  <dimension ref="A1:U59"/>
  <sheetViews>
    <sheetView showGridLines="0" tabSelected="1" zoomScale="66" zoomScaleNormal="40" workbookViewId="0">
      <selection activeCell="V14" sqref="V14"/>
    </sheetView>
  </sheetViews>
  <sheetFormatPr defaultColWidth="8.6328125" defaultRowHeight="14.5" x14ac:dyDescent="0.35"/>
  <cols>
    <col min="1" max="1" width="2" customWidth="1"/>
    <col min="2" max="2" width="20" customWidth="1"/>
    <col min="3" max="5" width="13" customWidth="1"/>
    <col min="6" max="6" width="14" customWidth="1"/>
    <col min="7" max="7" width="2" customWidth="1"/>
    <col min="8" max="17" width="10" customWidth="1"/>
    <col min="18" max="19" width="4" customWidth="1"/>
    <col min="20" max="20" width="12" customWidth="1"/>
  </cols>
  <sheetData>
    <row r="1" spans="1:21" ht="15" thickBot="1" x14ac:dyDescent="0.4">
      <c r="A1" s="1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"/>
      <c r="Q1" s="1"/>
      <c r="R1" s="1"/>
      <c r="S1" s="13"/>
      <c r="T1" s="14">
        <f>MAX(MAX(Income!$A$5:$A$34),MAX(Expenses!$A$5:$A$48))</f>
        <v>46275</v>
      </c>
      <c r="U1" s="13"/>
    </row>
    <row r="2" spans="1:21" x14ac:dyDescent="0.35">
      <c r="A2" s="1"/>
      <c r="B2" s="48" t="s">
        <v>0</v>
      </c>
      <c r="C2" s="49"/>
      <c r="D2" s="49"/>
      <c r="E2" s="49"/>
      <c r="F2" s="49"/>
      <c r="G2" s="30"/>
      <c r="H2" s="30"/>
      <c r="I2" s="30"/>
      <c r="J2" s="30"/>
      <c r="K2" s="30"/>
      <c r="L2" s="30"/>
      <c r="M2" s="30"/>
      <c r="N2" s="30"/>
      <c r="O2" s="31"/>
      <c r="P2" s="1"/>
      <c r="Q2" s="1"/>
      <c r="R2" s="1"/>
      <c r="S2" s="13"/>
      <c r="T2" s="14">
        <f>DATE(YEAR($T$1),MONTH($T$1),1)</f>
        <v>46266</v>
      </c>
      <c r="U2" s="13"/>
    </row>
    <row r="3" spans="1:21" x14ac:dyDescent="0.35">
      <c r="A3" s="1"/>
      <c r="B3" s="32"/>
      <c r="C3" s="16"/>
      <c r="D3" s="16"/>
      <c r="E3" s="16"/>
      <c r="F3" s="16"/>
      <c r="G3" s="15"/>
      <c r="H3" s="15"/>
      <c r="I3" s="15"/>
      <c r="J3" s="15"/>
      <c r="K3" s="15"/>
      <c r="L3" s="15"/>
      <c r="M3" s="15"/>
      <c r="N3" s="15"/>
      <c r="O3" s="33"/>
      <c r="P3" s="1"/>
      <c r="Q3" s="1"/>
      <c r="R3" s="1"/>
      <c r="S3" s="13"/>
      <c r="T3" s="13"/>
      <c r="U3" s="13"/>
    </row>
    <row r="4" spans="1:21" x14ac:dyDescent="0.35">
      <c r="A4" s="1"/>
      <c r="B4" s="34" t="str">
        <f>TEXT($T$4,"mmm yyyy")&amp;" to "&amp;TEXT($T$6,"mmm yyyy")&amp;"  ·  last 3 months  ·  all amounts in pesos"</f>
        <v>Jul 2026 to Sep 2026  ·  last 3 months  ·  all amounts in pesos</v>
      </c>
      <c r="C4" s="17"/>
      <c r="D4" s="17"/>
      <c r="E4" s="17"/>
      <c r="F4" s="17"/>
      <c r="G4" s="15"/>
      <c r="H4" s="15"/>
      <c r="I4" s="15"/>
      <c r="J4" s="15"/>
      <c r="K4" s="15"/>
      <c r="L4" s="15"/>
      <c r="M4" s="15"/>
      <c r="N4" s="15"/>
      <c r="O4" s="33"/>
      <c r="P4" s="1"/>
      <c r="Q4" s="1"/>
      <c r="R4" s="1"/>
      <c r="S4" s="13"/>
      <c r="T4" s="14">
        <f>EDATE($T$2,-2)</f>
        <v>46204</v>
      </c>
      <c r="U4" s="13"/>
    </row>
    <row r="5" spans="1:21" x14ac:dyDescent="0.35">
      <c r="A5" s="1"/>
      <c r="B5" s="3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33"/>
      <c r="P5" s="1"/>
      <c r="Q5" s="1"/>
      <c r="R5" s="1"/>
      <c r="S5" s="13"/>
      <c r="T5" s="14">
        <f>EDATE($T$2,-1)</f>
        <v>46235</v>
      </c>
      <c r="U5" s="13"/>
    </row>
    <row r="6" spans="1:21" x14ac:dyDescent="0.35">
      <c r="A6" s="1"/>
      <c r="B6" s="36" t="s">
        <v>1</v>
      </c>
      <c r="C6" s="18"/>
      <c r="D6" s="15"/>
      <c r="E6" s="19" t="s">
        <v>2</v>
      </c>
      <c r="F6" s="19"/>
      <c r="G6" s="15"/>
      <c r="H6" s="15"/>
      <c r="I6" s="15"/>
      <c r="J6" s="15"/>
      <c r="K6" s="15"/>
      <c r="L6" s="15"/>
      <c r="M6" s="15"/>
      <c r="N6" s="15"/>
      <c r="O6" s="33"/>
      <c r="P6" s="1"/>
      <c r="Q6" s="1"/>
      <c r="R6" s="1"/>
      <c r="S6" s="13"/>
      <c r="T6" s="14">
        <f>EDATE($T$2,0)</f>
        <v>46266</v>
      </c>
      <c r="U6" s="13"/>
    </row>
    <row r="7" spans="1:21" x14ac:dyDescent="0.35">
      <c r="A7" s="1"/>
      <c r="B7" s="37">
        <f>SUMIFS(Income!$D$5:$D$34,Income!$A$5:$A$34,"&gt;="&amp;$T$4,Income!$A$5:$A$34,"&lt;="&amp;EOMONTH($T$6,0))</f>
        <v>8000</v>
      </c>
      <c r="C7" s="20"/>
      <c r="D7" s="15"/>
      <c r="E7" s="21">
        <f>SUMIFS(Expenses!$D$5:$D$48,Expenses!$A$5:$A$48,"&gt;="&amp;$T$4,Expenses!$A$5:$A$48,"&lt;="&amp;EOMONTH($T$6,0))</f>
        <v>0</v>
      </c>
      <c r="F7" s="21"/>
      <c r="G7" s="15"/>
      <c r="H7" s="15"/>
      <c r="I7" s="15"/>
      <c r="J7" s="15"/>
      <c r="K7" s="15"/>
      <c r="L7" s="15"/>
      <c r="M7" s="15"/>
      <c r="N7" s="15"/>
      <c r="O7" s="33"/>
      <c r="P7" s="1"/>
      <c r="Q7" s="1"/>
      <c r="R7" s="1"/>
      <c r="S7" s="13"/>
      <c r="T7" s="13"/>
      <c r="U7" s="13"/>
    </row>
    <row r="8" spans="1:21" x14ac:dyDescent="0.35">
      <c r="A8" s="1"/>
      <c r="B8" s="37"/>
      <c r="C8" s="20"/>
      <c r="D8" s="15"/>
      <c r="E8" s="21"/>
      <c r="F8" s="21"/>
      <c r="G8" s="15"/>
      <c r="H8" s="15"/>
      <c r="I8" s="15"/>
      <c r="J8" s="15"/>
      <c r="K8" s="15"/>
      <c r="L8" s="15"/>
      <c r="M8" s="15"/>
      <c r="N8" s="15"/>
      <c r="O8" s="33"/>
      <c r="P8" s="1"/>
      <c r="Q8" s="1"/>
      <c r="R8" s="1"/>
      <c r="S8" s="1"/>
      <c r="T8" s="1"/>
      <c r="U8" s="1"/>
    </row>
    <row r="9" spans="1:21" x14ac:dyDescent="0.35">
      <c r="A9" s="1"/>
      <c r="B9" s="3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33"/>
      <c r="P9" s="1"/>
      <c r="Q9" s="1"/>
      <c r="R9" s="1"/>
      <c r="S9" s="1"/>
      <c r="T9" s="1"/>
      <c r="U9" s="1"/>
    </row>
    <row r="10" spans="1:21" x14ac:dyDescent="0.35">
      <c r="A10" s="1"/>
      <c r="B10" s="38" t="s">
        <v>3</v>
      </c>
      <c r="C10" s="22"/>
      <c r="D10" s="15"/>
      <c r="E10" s="22" t="s">
        <v>4</v>
      </c>
      <c r="F10" s="22"/>
      <c r="G10" s="15"/>
      <c r="H10" s="15"/>
      <c r="I10" s="15"/>
      <c r="J10" s="15"/>
      <c r="K10" s="15"/>
      <c r="L10" s="15"/>
      <c r="M10" s="15"/>
      <c r="N10" s="15"/>
      <c r="O10" s="33"/>
      <c r="P10" s="1"/>
      <c r="Q10" s="1"/>
      <c r="R10" s="1"/>
      <c r="S10" s="1"/>
      <c r="T10" s="1"/>
      <c r="U10" s="1"/>
    </row>
    <row r="11" spans="1:21" x14ac:dyDescent="0.35">
      <c r="A11" s="1"/>
      <c r="B11" s="39">
        <f>SUMIFS(Income!$D$5:$D$34,Income!$A$5:$A$34,"&gt;="&amp;$T$4,Income!$A$5:$A$34,"&lt;="&amp;EOMONTH($T$6,0))-SUMIFS(Expenses!$D$5:$D$48,Expenses!$A$5:$A$48,"&gt;="&amp;$T$4,Expenses!$A$5:$A$48,"&lt;="&amp;EOMONTH($T$6,0))</f>
        <v>8000</v>
      </c>
      <c r="C11" s="23"/>
      <c r="D11" s="15"/>
      <c r="E11" s="23">
        <f>(SUM(Budget!$B$5:$B$10)*3)-SUMIFS(Expenses!$D$5:$D$48,Expenses!$A$5:$A$48,"&gt;="&amp;$T$4,Expenses!$A$5:$A$48,"&lt;="&amp;EOMONTH($T$6,0))</f>
        <v>34200</v>
      </c>
      <c r="F11" s="23"/>
      <c r="G11" s="15"/>
      <c r="H11" s="15"/>
      <c r="I11" s="15"/>
      <c r="J11" s="15"/>
      <c r="K11" s="15"/>
      <c r="L11" s="15"/>
      <c r="M11" s="15"/>
      <c r="N11" s="15"/>
      <c r="O11" s="33"/>
      <c r="P11" s="1"/>
      <c r="Q11" s="1"/>
      <c r="R11" s="1"/>
      <c r="S11" s="1"/>
      <c r="T11" s="1"/>
      <c r="U11" s="1"/>
    </row>
    <row r="12" spans="1:21" x14ac:dyDescent="0.35">
      <c r="A12" s="1"/>
      <c r="B12" s="39"/>
      <c r="C12" s="23"/>
      <c r="D12" s="15"/>
      <c r="E12" s="23"/>
      <c r="F12" s="23"/>
      <c r="G12" s="15"/>
      <c r="H12" s="15"/>
      <c r="I12" s="15"/>
      <c r="J12" s="15"/>
      <c r="K12" s="15"/>
      <c r="L12" s="15"/>
      <c r="M12" s="15"/>
      <c r="N12" s="15"/>
      <c r="O12" s="33"/>
      <c r="P12" s="1"/>
      <c r="Q12" s="1"/>
      <c r="R12" s="1"/>
      <c r="S12" s="1"/>
      <c r="T12" s="1"/>
      <c r="U12" s="1"/>
    </row>
    <row r="13" spans="1:21" x14ac:dyDescent="0.35">
      <c r="A13" s="1"/>
      <c r="B13" s="3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33"/>
      <c r="P13" s="1"/>
      <c r="Q13" s="1"/>
      <c r="R13" s="1"/>
      <c r="S13" s="1"/>
      <c r="T13" s="1"/>
      <c r="U13" s="1"/>
    </row>
    <row r="14" spans="1:21" x14ac:dyDescent="0.35">
      <c r="A14" s="1"/>
      <c r="B14" s="40" t="e">
        <f>"Biggest expense: "&amp;INDEX($B$19:$B$24,MATCH(MAX($C$19:$C$24),$C$19:$C$24,0))&amp;" ("&amp;TEXT(MAX($C$19:$C$24),"₱#,##0")&amp;", "&amp;TEXT(MAX($C$19:$C$24)/SUMIFS(Expenses!$D$5:$D$48,Expenses!$A$5:$A$48,"&gt;="&amp;$T$4,Expenses!$A$5:$A$48,"&lt;="&amp;EOMONTH($T$6,0)),"0%")&amp;" of spending).   You kept "&amp;TEXT(IFERROR((SUMIFS(Income!$D$5:$D$34,Income!$A$5:$A$34,"&gt;="&amp;$T$4,Income!$A$5:$A$34,"&lt;="&amp;EOMONTH($T$6,0))-SUMIFS(Expenses!$D$5:$D$48,Expenses!$A$5:$A$48,"&gt;="&amp;$T$4,Expenses!$A$5:$A$48,"&lt;="&amp;EOMONTH($T$6,0)))/SUMIFS(Income!$D$5:$D$34,Income!$A$5:$A$34,"&gt;="&amp;$T$4,Income!$A$5:$A$34,"&lt;="&amp;EOMONTH($T$6,0)),0),"0%")&amp;" of what you earned."</f>
        <v>#DIV/0!</v>
      </c>
      <c r="C14" s="24"/>
      <c r="D14" s="24"/>
      <c r="E14" s="24"/>
      <c r="F14" s="24"/>
      <c r="G14" s="15"/>
      <c r="H14" s="15"/>
      <c r="I14" s="15"/>
      <c r="J14" s="15"/>
      <c r="K14" s="15"/>
      <c r="L14" s="15"/>
      <c r="M14" s="15"/>
      <c r="N14" s="15"/>
      <c r="O14" s="33"/>
      <c r="P14" s="1"/>
      <c r="Q14" s="1"/>
      <c r="R14" s="1"/>
      <c r="S14" s="1"/>
      <c r="T14" s="1"/>
      <c r="U14" s="1"/>
    </row>
    <row r="15" spans="1:21" x14ac:dyDescent="0.35">
      <c r="A15" s="1"/>
      <c r="B15" s="40"/>
      <c r="C15" s="24"/>
      <c r="D15" s="24"/>
      <c r="E15" s="24"/>
      <c r="F15" s="24"/>
      <c r="G15" s="15"/>
      <c r="H15" s="15"/>
      <c r="I15" s="15"/>
      <c r="J15" s="15"/>
      <c r="K15" s="15"/>
      <c r="L15" s="15"/>
      <c r="M15" s="15"/>
      <c r="N15" s="15"/>
      <c r="O15" s="33"/>
      <c r="P15" s="1"/>
      <c r="Q15" s="1"/>
      <c r="R15" s="1"/>
      <c r="S15" s="1"/>
      <c r="T15" s="1"/>
      <c r="U15" s="1"/>
    </row>
    <row r="16" spans="1:21" x14ac:dyDescent="0.35">
      <c r="A16" s="1"/>
      <c r="B16" s="3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33"/>
      <c r="P16" s="1"/>
      <c r="Q16" s="1"/>
      <c r="R16" s="1"/>
      <c r="S16" s="1"/>
      <c r="T16" s="1"/>
      <c r="U16" s="1"/>
    </row>
    <row r="17" spans="1:21" ht="15.5" x14ac:dyDescent="0.35">
      <c r="A17" s="1"/>
      <c r="B17" s="41" t="s">
        <v>5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33"/>
      <c r="P17" s="1"/>
      <c r="Q17" s="1"/>
      <c r="R17" s="1"/>
      <c r="S17" s="1"/>
      <c r="T17" s="1"/>
      <c r="U17" s="1"/>
    </row>
    <row r="18" spans="1:21" x14ac:dyDescent="0.35">
      <c r="A18" s="1"/>
      <c r="B18" s="42" t="s">
        <v>6</v>
      </c>
      <c r="C18" s="25" t="s">
        <v>7</v>
      </c>
      <c r="D18" s="25" t="s">
        <v>8</v>
      </c>
      <c r="E18" s="25" t="s">
        <v>9</v>
      </c>
      <c r="F18" s="25" t="s">
        <v>10</v>
      </c>
      <c r="G18" s="15"/>
      <c r="H18" s="15"/>
      <c r="I18" s="15"/>
      <c r="J18" s="15"/>
      <c r="K18" s="15"/>
      <c r="L18" s="15"/>
      <c r="M18" s="15"/>
      <c r="N18" s="15"/>
      <c r="O18" s="33"/>
      <c r="P18" s="1"/>
      <c r="Q18" s="1"/>
      <c r="R18" s="1"/>
      <c r="S18" s="1"/>
      <c r="T18" s="1"/>
      <c r="U18" s="1"/>
    </row>
    <row r="19" spans="1:21" x14ac:dyDescent="0.35">
      <c r="A19" s="1"/>
      <c r="B19" s="43" t="s">
        <v>11</v>
      </c>
      <c r="C19" s="26">
        <f>SUMIFS(Expenses!$D$5:$D$48,Expenses!$B$5:$B$48,B19,Expenses!$A$5:$A$48,"&gt;="&amp;$T$4,Expenses!$A$5:$A$48,"&lt;="&amp;EOMONTH($T$6,0))</f>
        <v>0</v>
      </c>
      <c r="D19" s="26">
        <f>IFERROR(INDEX(Budget!$B$5:$B$10,MATCH(B19,Budget!$A$5:$A$10,0))*3,0)</f>
        <v>19500</v>
      </c>
      <c r="E19" s="26">
        <f t="shared" ref="E19:E24" si="0">D19-C19</f>
        <v>19500</v>
      </c>
      <c r="F19" s="27">
        <f>IFERROR(C19/SUMIFS(Expenses!$D$5:$D$48,Expenses!$A$5:$A$48,"&gt;="&amp;$T$4,Expenses!$A$5:$A$48,"&lt;="&amp;EOMONTH($T$6,0)),0)</f>
        <v>0</v>
      </c>
      <c r="G19" s="15"/>
      <c r="H19" s="15"/>
      <c r="I19" s="15"/>
      <c r="J19" s="15"/>
      <c r="K19" s="15"/>
      <c r="L19" s="15"/>
      <c r="M19" s="15"/>
      <c r="N19" s="15"/>
      <c r="O19" s="33"/>
      <c r="P19" s="1"/>
      <c r="Q19" s="1"/>
      <c r="R19" s="1"/>
      <c r="S19" s="1"/>
      <c r="T19" s="1"/>
      <c r="U19" s="1"/>
    </row>
    <row r="20" spans="1:21" x14ac:dyDescent="0.35">
      <c r="A20" s="1"/>
      <c r="B20" s="43" t="s">
        <v>12</v>
      </c>
      <c r="C20" s="26">
        <f>SUMIFS(Expenses!$D$5:$D$48,Expenses!$B$5:$B$48,B20,Expenses!$A$5:$A$48,"&gt;="&amp;$T$4,Expenses!$A$5:$A$48,"&lt;="&amp;EOMONTH($T$6,0))</f>
        <v>0</v>
      </c>
      <c r="D20" s="26">
        <f>IFERROR(INDEX(Budget!$B$5:$B$10,MATCH(B20,Budget!$A$5:$A$10,0))*3,0)</f>
        <v>3000</v>
      </c>
      <c r="E20" s="26">
        <f t="shared" si="0"/>
        <v>3000</v>
      </c>
      <c r="F20" s="27">
        <f>IFERROR(C20/SUMIFS(Expenses!$D$5:$D$48,Expenses!$A$5:$A$48,"&gt;="&amp;$T$4,Expenses!$A$5:$A$48,"&lt;="&amp;EOMONTH($T$6,0)),0)</f>
        <v>0</v>
      </c>
      <c r="G20" s="15"/>
      <c r="H20" s="15"/>
      <c r="I20" s="15"/>
      <c r="J20" s="15"/>
      <c r="K20" s="15"/>
      <c r="L20" s="15"/>
      <c r="M20" s="15"/>
      <c r="N20" s="15"/>
      <c r="O20" s="33"/>
      <c r="P20" s="1"/>
      <c r="Q20" s="1"/>
      <c r="R20" s="1"/>
      <c r="S20" s="1"/>
      <c r="T20" s="1"/>
      <c r="U20" s="1"/>
    </row>
    <row r="21" spans="1:21" x14ac:dyDescent="0.35">
      <c r="A21" s="1"/>
      <c r="B21" s="43" t="s">
        <v>13</v>
      </c>
      <c r="C21" s="26">
        <f>SUMIFS(Expenses!$D$5:$D$48,Expenses!$B$5:$B$48,B21,Expenses!$A$5:$A$48,"&gt;="&amp;$T$4,Expenses!$A$5:$A$48,"&lt;="&amp;EOMONTH($T$6,0))</f>
        <v>0</v>
      </c>
      <c r="D21" s="26">
        <f>IFERROR(INDEX(Budget!$B$5:$B$10,MATCH(B21,Budget!$A$5:$A$10,0))*3,0)</f>
        <v>3600</v>
      </c>
      <c r="E21" s="26">
        <f t="shared" si="0"/>
        <v>3600</v>
      </c>
      <c r="F21" s="27">
        <f>IFERROR(C21/SUMIFS(Expenses!$D$5:$D$48,Expenses!$A$5:$A$48,"&gt;="&amp;$T$4,Expenses!$A$5:$A$48,"&lt;="&amp;EOMONTH($T$6,0)),0)</f>
        <v>0</v>
      </c>
      <c r="G21" s="15"/>
      <c r="H21" s="15"/>
      <c r="I21" s="15"/>
      <c r="J21" s="15"/>
      <c r="K21" s="15"/>
      <c r="L21" s="15"/>
      <c r="M21" s="15"/>
      <c r="N21" s="15"/>
      <c r="O21" s="33"/>
      <c r="P21" s="1"/>
      <c r="Q21" s="1"/>
      <c r="R21" s="1"/>
      <c r="S21" s="1"/>
      <c r="T21" s="1"/>
      <c r="U21" s="1"/>
    </row>
    <row r="22" spans="1:21" x14ac:dyDescent="0.35">
      <c r="A22" s="1"/>
      <c r="B22" s="43" t="s">
        <v>14</v>
      </c>
      <c r="C22" s="26">
        <f>SUMIFS(Expenses!$D$5:$D$48,Expenses!$B$5:$B$48,B22,Expenses!$A$5:$A$48,"&gt;="&amp;$T$4,Expenses!$A$5:$A$48,"&lt;="&amp;EOMONTH($T$6,0))</f>
        <v>0</v>
      </c>
      <c r="D22" s="26">
        <f>IFERROR(INDEX(Budget!$B$5:$B$10,MATCH(B22,Budget!$A$5:$A$10,0))*3,0)</f>
        <v>4500</v>
      </c>
      <c r="E22" s="26">
        <f t="shared" si="0"/>
        <v>4500</v>
      </c>
      <c r="F22" s="27">
        <f>IFERROR(C22/SUMIFS(Expenses!$D$5:$D$48,Expenses!$A$5:$A$48,"&gt;="&amp;$T$4,Expenses!$A$5:$A$48,"&lt;="&amp;EOMONTH($T$6,0)),0)</f>
        <v>0</v>
      </c>
      <c r="G22" s="15"/>
      <c r="H22" s="15"/>
      <c r="I22" s="15"/>
      <c r="J22" s="15"/>
      <c r="K22" s="15"/>
      <c r="L22" s="15"/>
      <c r="M22" s="15"/>
      <c r="N22" s="15"/>
      <c r="O22" s="33"/>
      <c r="P22" s="1"/>
      <c r="Q22" s="1"/>
      <c r="R22" s="1"/>
      <c r="S22" s="1"/>
      <c r="T22" s="1"/>
      <c r="U22" s="1"/>
    </row>
    <row r="23" spans="1:21" x14ac:dyDescent="0.35">
      <c r="A23" s="1"/>
      <c r="B23" s="43" t="s">
        <v>15</v>
      </c>
      <c r="C23" s="26">
        <f>SUMIFS(Expenses!$D$5:$D$48,Expenses!$B$5:$B$48,B23,Expenses!$A$5:$A$48,"&gt;="&amp;$T$4,Expenses!$A$5:$A$48,"&lt;="&amp;EOMONTH($T$6,0))</f>
        <v>0</v>
      </c>
      <c r="D23" s="26">
        <f>IFERROR(INDEX(Budget!$B$5:$B$10,MATCH(B23,Budget!$A$5:$A$10,0))*3,0)</f>
        <v>2400</v>
      </c>
      <c r="E23" s="26">
        <f t="shared" si="0"/>
        <v>2400</v>
      </c>
      <c r="F23" s="27">
        <f>IFERROR(C23/SUMIFS(Expenses!$D$5:$D$48,Expenses!$A$5:$A$48,"&gt;="&amp;$T$4,Expenses!$A$5:$A$48,"&lt;="&amp;EOMONTH($T$6,0)),0)</f>
        <v>0</v>
      </c>
      <c r="G23" s="15"/>
      <c r="H23" s="15"/>
      <c r="I23" s="15"/>
      <c r="J23" s="15"/>
      <c r="K23" s="15"/>
      <c r="L23" s="15"/>
      <c r="M23" s="15"/>
      <c r="N23" s="15"/>
      <c r="O23" s="33"/>
      <c r="P23" s="1"/>
      <c r="Q23" s="1"/>
      <c r="R23" s="1"/>
      <c r="S23" s="1"/>
      <c r="T23" s="1"/>
      <c r="U23" s="1"/>
    </row>
    <row r="24" spans="1:21" x14ac:dyDescent="0.35">
      <c r="A24" s="1"/>
      <c r="B24" s="43" t="s">
        <v>16</v>
      </c>
      <c r="C24" s="26">
        <f>SUMIFS(Expenses!$D$5:$D$48,Expenses!$B$5:$B$48,B24,Expenses!$A$5:$A$48,"&gt;="&amp;$T$4,Expenses!$A$5:$A$48,"&lt;="&amp;EOMONTH($T$6,0))</f>
        <v>0</v>
      </c>
      <c r="D24" s="26">
        <f>IFERROR(INDEX(Budget!$B$5:$B$10,MATCH(B24,Budget!$A$5:$A$10,0))*3,0)</f>
        <v>1200</v>
      </c>
      <c r="E24" s="26">
        <f t="shared" si="0"/>
        <v>1200</v>
      </c>
      <c r="F24" s="27">
        <f>IFERROR(C24/SUMIFS(Expenses!$D$5:$D$48,Expenses!$A$5:$A$48,"&gt;="&amp;$T$4,Expenses!$A$5:$A$48,"&lt;="&amp;EOMONTH($T$6,0)),0)</f>
        <v>0</v>
      </c>
      <c r="G24" s="15"/>
      <c r="H24" s="15"/>
      <c r="I24" s="15"/>
      <c r="J24" s="15"/>
      <c r="K24" s="15"/>
      <c r="L24" s="15"/>
      <c r="M24" s="15"/>
      <c r="N24" s="15"/>
      <c r="O24" s="33"/>
      <c r="P24" s="1"/>
      <c r="Q24" s="1"/>
      <c r="R24" s="1"/>
      <c r="S24" s="1"/>
      <c r="T24" s="1"/>
      <c r="U24" s="1"/>
    </row>
    <row r="25" spans="1:21" x14ac:dyDescent="0.35">
      <c r="A25" s="1"/>
      <c r="B25" s="44" t="s">
        <v>17</v>
      </c>
      <c r="C25" s="28">
        <f>SUM(C19:C24)</f>
        <v>0</v>
      </c>
      <c r="D25" s="28">
        <f>SUM(D19:D24)</f>
        <v>34200</v>
      </c>
      <c r="E25" s="28">
        <f>SUM(E19:E24)</f>
        <v>34200</v>
      </c>
      <c r="F25" s="29">
        <f>IFERROR(C25/SUMIFS(Expenses!$D$5:$D$48,Expenses!$A$5:$A$48,"&gt;="&amp;$T$4,Expenses!$A$5:$A$48,"&lt;="&amp;EOMONTH($T$6,0)),0)</f>
        <v>0</v>
      </c>
      <c r="G25" s="15"/>
      <c r="H25" s="15"/>
      <c r="I25" s="15"/>
      <c r="J25" s="15"/>
      <c r="K25" s="15"/>
      <c r="L25" s="15"/>
      <c r="M25" s="15"/>
      <c r="N25" s="15"/>
      <c r="O25" s="33"/>
      <c r="P25" s="1"/>
      <c r="Q25" s="1"/>
      <c r="R25" s="1"/>
      <c r="S25" s="1"/>
      <c r="T25" s="1"/>
      <c r="U25" s="1"/>
    </row>
    <row r="26" spans="1:21" x14ac:dyDescent="0.35">
      <c r="A26" s="1"/>
      <c r="B26" s="3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33"/>
      <c r="P26" s="1"/>
      <c r="Q26" s="1"/>
      <c r="R26" s="1"/>
      <c r="S26" s="1"/>
      <c r="T26" s="1"/>
      <c r="U26" s="1"/>
    </row>
    <row r="27" spans="1:21" ht="15.5" x14ac:dyDescent="0.35">
      <c r="A27" s="1"/>
      <c r="B27" s="41" t="s">
        <v>18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33"/>
      <c r="P27" s="1"/>
      <c r="Q27" s="1"/>
      <c r="R27" s="1"/>
      <c r="S27" s="1"/>
      <c r="T27" s="1"/>
      <c r="U27" s="1"/>
    </row>
    <row r="28" spans="1:21" x14ac:dyDescent="0.35">
      <c r="A28" s="1"/>
      <c r="B28" s="42" t="s">
        <v>19</v>
      </c>
      <c r="C28" s="25" t="s">
        <v>20</v>
      </c>
      <c r="D28" s="25" t="s">
        <v>21</v>
      </c>
      <c r="E28" s="25" t="s">
        <v>22</v>
      </c>
      <c r="F28" s="15"/>
      <c r="G28" s="15"/>
      <c r="H28" s="15"/>
      <c r="I28" s="15"/>
      <c r="J28" s="15"/>
      <c r="K28" s="15"/>
      <c r="L28" s="15"/>
      <c r="M28" s="15"/>
      <c r="N28" s="15"/>
      <c r="O28" s="33"/>
      <c r="P28" s="1"/>
      <c r="Q28" s="1"/>
      <c r="R28" s="1"/>
      <c r="S28" s="1"/>
      <c r="T28" s="1"/>
      <c r="U28" s="1"/>
    </row>
    <row r="29" spans="1:21" x14ac:dyDescent="0.35">
      <c r="A29" s="1"/>
      <c r="B29" s="43" t="str">
        <f>TEXT($T$4,"mmm yyyy")</f>
        <v>Jul 2026</v>
      </c>
      <c r="C29" s="26">
        <f>SUMIFS(Income!$D$5:$D$34,Income!$A$5:$A$34,"&gt;="&amp;$T$4,Income!$A$5:$A$34,"&lt;="&amp;EOMONTH($T$4,0))</f>
        <v>0</v>
      </c>
      <c r="D29" s="26">
        <f>SUMIFS(Expenses!$D$5:$D$48,Expenses!$A$5:$A$48,"&gt;="&amp;$T$4,Expenses!$A$5:$A$48,"&lt;="&amp;EOMONTH($T$4,0))</f>
        <v>0</v>
      </c>
      <c r="E29" s="26">
        <f>C29-D29</f>
        <v>0</v>
      </c>
      <c r="F29" s="15"/>
      <c r="G29" s="15"/>
      <c r="H29" s="15"/>
      <c r="I29" s="15"/>
      <c r="J29" s="15"/>
      <c r="K29" s="15"/>
      <c r="L29" s="15"/>
      <c r="M29" s="15"/>
      <c r="N29" s="15"/>
      <c r="O29" s="33"/>
      <c r="P29" s="1"/>
      <c r="Q29" s="1"/>
      <c r="R29" s="1"/>
      <c r="S29" s="1"/>
      <c r="T29" s="1"/>
      <c r="U29" s="1"/>
    </row>
    <row r="30" spans="1:21" x14ac:dyDescent="0.35">
      <c r="A30" s="1"/>
      <c r="B30" s="43" t="str">
        <f>TEXT($T$5,"mmm yyyy")</f>
        <v>Aug 2026</v>
      </c>
      <c r="C30" s="26">
        <f>SUMIFS(Income!$D$5:$D$34,Income!$A$5:$A$34,"&gt;="&amp;$T$5,Income!$A$5:$A$34,"&lt;="&amp;EOMONTH($T$5,0))</f>
        <v>0</v>
      </c>
      <c r="D30" s="26">
        <f>SUMIFS(Expenses!$D$5:$D$48,Expenses!$A$5:$A$48,"&gt;="&amp;$T$5,Expenses!$A$5:$A$48,"&lt;="&amp;EOMONTH($T$5,0))</f>
        <v>0</v>
      </c>
      <c r="E30" s="26">
        <f>C30-D30</f>
        <v>0</v>
      </c>
      <c r="F30" s="15"/>
      <c r="G30" s="15"/>
      <c r="H30" s="15"/>
      <c r="I30" s="15"/>
      <c r="J30" s="15"/>
      <c r="K30" s="15"/>
      <c r="L30" s="15"/>
      <c r="M30" s="15"/>
      <c r="N30" s="15"/>
      <c r="O30" s="33"/>
      <c r="P30" s="1"/>
      <c r="Q30" s="1"/>
      <c r="R30" s="1"/>
      <c r="S30" s="1"/>
      <c r="T30" s="1"/>
      <c r="U30" s="1"/>
    </row>
    <row r="31" spans="1:21" x14ac:dyDescent="0.35">
      <c r="A31" s="1"/>
      <c r="B31" s="43" t="str">
        <f>TEXT($T$6,"mmm yyyy")</f>
        <v>Sep 2026</v>
      </c>
      <c r="C31" s="26">
        <f>SUMIFS(Income!$D$5:$D$34,Income!$A$5:$A$34,"&gt;="&amp;$T$6,Income!$A$5:$A$34,"&lt;="&amp;EOMONTH($T$6,0))</f>
        <v>8000</v>
      </c>
      <c r="D31" s="26">
        <f>SUMIFS(Expenses!$D$5:$D$48,Expenses!$A$5:$A$48,"&gt;="&amp;$T$6,Expenses!$A$5:$A$48,"&lt;="&amp;EOMONTH($T$6,0))</f>
        <v>0</v>
      </c>
      <c r="E31" s="26">
        <f>C31-D31</f>
        <v>8000</v>
      </c>
      <c r="F31" s="15"/>
      <c r="G31" s="15"/>
      <c r="H31" s="15"/>
      <c r="I31" s="15"/>
      <c r="J31" s="15"/>
      <c r="K31" s="15"/>
      <c r="L31" s="15"/>
      <c r="M31" s="15"/>
      <c r="N31" s="15"/>
      <c r="O31" s="33"/>
      <c r="P31" s="1"/>
      <c r="Q31" s="1"/>
      <c r="R31" s="1"/>
      <c r="S31" s="1"/>
      <c r="T31" s="1"/>
      <c r="U31" s="1"/>
    </row>
    <row r="32" spans="1:21" x14ac:dyDescent="0.35">
      <c r="A32" s="1"/>
      <c r="B32" s="3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33"/>
      <c r="P32" s="1"/>
      <c r="Q32" s="1"/>
      <c r="R32" s="1"/>
      <c r="S32" s="1"/>
      <c r="T32" s="1"/>
      <c r="U32" s="1"/>
    </row>
    <row r="33" spans="1:21" x14ac:dyDescent="0.35">
      <c r="A33" s="1"/>
      <c r="B33" s="3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33"/>
      <c r="P33" s="1"/>
      <c r="Q33" s="1"/>
      <c r="R33" s="1"/>
      <c r="S33" s="1"/>
      <c r="T33" s="1"/>
      <c r="U33" s="1"/>
    </row>
    <row r="34" spans="1:21" x14ac:dyDescent="0.35">
      <c r="A34" s="1"/>
      <c r="B34" s="3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33"/>
      <c r="P34" s="1"/>
      <c r="Q34" s="1"/>
      <c r="R34" s="1"/>
      <c r="S34" s="1"/>
      <c r="T34" s="1"/>
      <c r="U34" s="1"/>
    </row>
    <row r="35" spans="1:21" x14ac:dyDescent="0.35">
      <c r="A35" s="1"/>
      <c r="B35" s="3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33"/>
      <c r="P35" s="1"/>
      <c r="Q35" s="1"/>
      <c r="R35" s="1"/>
      <c r="S35" s="1"/>
      <c r="T35" s="1"/>
      <c r="U35" s="1"/>
    </row>
    <row r="36" spans="1:21" x14ac:dyDescent="0.35">
      <c r="A36" s="1"/>
      <c r="B36" s="3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33"/>
      <c r="P36" s="1"/>
      <c r="Q36" s="1"/>
      <c r="R36" s="1"/>
      <c r="S36" s="1"/>
      <c r="T36" s="1"/>
      <c r="U36" s="1"/>
    </row>
    <row r="37" spans="1:21" x14ac:dyDescent="0.35">
      <c r="A37" s="1"/>
      <c r="B37" s="3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33"/>
      <c r="P37" s="1"/>
      <c r="Q37" s="1"/>
      <c r="R37" s="1"/>
      <c r="S37" s="1"/>
      <c r="T37" s="1"/>
      <c r="U37" s="1"/>
    </row>
    <row r="38" spans="1:21" x14ac:dyDescent="0.35">
      <c r="A38" s="1"/>
      <c r="B38" s="3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33"/>
      <c r="P38" s="1"/>
      <c r="Q38" s="1"/>
      <c r="R38" s="1"/>
      <c r="S38" s="1"/>
      <c r="T38" s="1"/>
      <c r="U38" s="1"/>
    </row>
    <row r="39" spans="1:21" x14ac:dyDescent="0.35">
      <c r="A39" s="1"/>
      <c r="B39" s="3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33"/>
      <c r="P39" s="1"/>
      <c r="Q39" s="1"/>
      <c r="R39" s="1"/>
      <c r="S39" s="1"/>
      <c r="T39" s="1"/>
      <c r="U39" s="1"/>
    </row>
    <row r="40" spans="1:21" x14ac:dyDescent="0.35">
      <c r="A40" s="1"/>
      <c r="B40" s="3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33"/>
      <c r="P40" s="1"/>
      <c r="Q40" s="1"/>
      <c r="R40" s="1"/>
      <c r="S40" s="1"/>
      <c r="T40" s="1"/>
      <c r="U40" s="1"/>
    </row>
    <row r="41" spans="1:21" x14ac:dyDescent="0.35">
      <c r="A41" s="1"/>
      <c r="B41" s="3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33"/>
      <c r="P41" s="1"/>
      <c r="Q41" s="1"/>
      <c r="R41" s="1"/>
      <c r="S41" s="1"/>
      <c r="T41" s="1"/>
      <c r="U41" s="1"/>
    </row>
    <row r="42" spans="1:21" x14ac:dyDescent="0.35">
      <c r="A42" s="1"/>
      <c r="B42" s="3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33"/>
      <c r="P42" s="1"/>
      <c r="Q42" s="1"/>
      <c r="R42" s="1"/>
      <c r="S42" s="1"/>
      <c r="T42" s="1"/>
      <c r="U42" s="1"/>
    </row>
    <row r="43" spans="1:21" x14ac:dyDescent="0.35">
      <c r="A43" s="1"/>
      <c r="B43" s="3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33"/>
      <c r="P43" s="1"/>
      <c r="Q43" s="1"/>
      <c r="R43" s="1"/>
      <c r="S43" s="1"/>
      <c r="T43" s="1"/>
      <c r="U43" s="1"/>
    </row>
    <row r="44" spans="1:21" x14ac:dyDescent="0.35">
      <c r="A44" s="1"/>
      <c r="B44" s="3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33"/>
      <c r="P44" s="1"/>
      <c r="Q44" s="1"/>
      <c r="R44" s="1"/>
      <c r="S44" s="1"/>
      <c r="T44" s="1"/>
      <c r="U44" s="1"/>
    </row>
    <row r="45" spans="1:21" x14ac:dyDescent="0.35">
      <c r="A45" s="1"/>
      <c r="B45" s="3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33"/>
      <c r="P45" s="1"/>
      <c r="Q45" s="1"/>
      <c r="R45" s="1"/>
      <c r="S45" s="1"/>
      <c r="T45" s="1"/>
      <c r="U45" s="1"/>
    </row>
    <row r="46" spans="1:21" x14ac:dyDescent="0.35">
      <c r="A46" s="1"/>
      <c r="B46" s="3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33"/>
      <c r="P46" s="1"/>
      <c r="Q46" s="1"/>
      <c r="R46" s="1"/>
      <c r="S46" s="1"/>
      <c r="T46" s="1"/>
      <c r="U46" s="1"/>
    </row>
    <row r="47" spans="1:21" x14ac:dyDescent="0.35">
      <c r="A47" s="1"/>
      <c r="B47" s="3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33"/>
      <c r="P47" s="1"/>
      <c r="Q47" s="1"/>
      <c r="R47" s="1"/>
      <c r="S47" s="1"/>
      <c r="T47" s="1"/>
      <c r="U47" s="1"/>
    </row>
    <row r="48" spans="1:21" x14ac:dyDescent="0.35">
      <c r="A48" s="1"/>
      <c r="B48" s="3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33"/>
      <c r="P48" s="1"/>
      <c r="Q48" s="1"/>
      <c r="R48" s="1"/>
      <c r="S48" s="1"/>
      <c r="T48" s="1"/>
      <c r="U48" s="1"/>
    </row>
    <row r="49" spans="1:21" x14ac:dyDescent="0.35">
      <c r="A49" s="1"/>
      <c r="B49" s="3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33"/>
      <c r="P49" s="1"/>
      <c r="Q49" s="1"/>
      <c r="R49" s="1"/>
      <c r="S49" s="1"/>
      <c r="T49" s="1"/>
      <c r="U49" s="1"/>
    </row>
    <row r="50" spans="1:21" x14ac:dyDescent="0.35">
      <c r="A50" s="1"/>
      <c r="B50" s="3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33"/>
      <c r="P50" s="1"/>
      <c r="Q50" s="1"/>
      <c r="R50" s="1"/>
      <c r="S50" s="1"/>
      <c r="T50" s="1"/>
      <c r="U50" s="1"/>
    </row>
    <row r="51" spans="1:21" x14ac:dyDescent="0.35">
      <c r="A51" s="1"/>
      <c r="B51" s="3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33"/>
      <c r="P51" s="1"/>
      <c r="Q51" s="1"/>
      <c r="R51" s="1"/>
      <c r="S51" s="1"/>
      <c r="T51" s="1"/>
      <c r="U51" s="1"/>
    </row>
    <row r="52" spans="1:21" x14ac:dyDescent="0.35">
      <c r="A52" s="1"/>
      <c r="B52" s="3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33"/>
      <c r="P52" s="1"/>
      <c r="Q52" s="1"/>
      <c r="R52" s="1"/>
      <c r="S52" s="1"/>
      <c r="T52" s="1"/>
      <c r="U52" s="1"/>
    </row>
    <row r="53" spans="1:21" x14ac:dyDescent="0.35">
      <c r="A53" s="1"/>
      <c r="B53" s="3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33"/>
      <c r="P53" s="1"/>
      <c r="Q53" s="1"/>
      <c r="R53" s="1"/>
      <c r="S53" s="1"/>
      <c r="T53" s="1"/>
      <c r="U53" s="1"/>
    </row>
    <row r="54" spans="1:21" x14ac:dyDescent="0.35">
      <c r="A54" s="1"/>
      <c r="B54" s="3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33"/>
      <c r="P54" s="1"/>
      <c r="Q54" s="1"/>
      <c r="R54" s="1"/>
      <c r="S54" s="1"/>
      <c r="T54" s="1"/>
      <c r="U54" s="1"/>
    </row>
    <row r="55" spans="1:21" ht="15" thickBot="1" x14ac:dyDescent="0.4">
      <c r="A55" s="1"/>
      <c r="B55" s="45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7"/>
      <c r="P55" s="1"/>
      <c r="Q55" s="1"/>
      <c r="R55" s="1"/>
      <c r="S55" s="1"/>
      <c r="T55" s="1"/>
      <c r="U55" s="1"/>
    </row>
    <row r="56" spans="1:21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</sheetData>
  <mergeCells count="11">
    <mergeCell ref="B10:C10"/>
    <mergeCell ref="E10:F10"/>
    <mergeCell ref="B11:C12"/>
    <mergeCell ref="E11:F12"/>
    <mergeCell ref="B14:F15"/>
    <mergeCell ref="B2:F3"/>
    <mergeCell ref="B4:F4"/>
    <mergeCell ref="B6:C6"/>
    <mergeCell ref="E6:F6"/>
    <mergeCell ref="B7:C8"/>
    <mergeCell ref="E7:F8"/>
  </mergeCells>
  <conditionalFormatting sqref="E19:E25">
    <cfRule type="cellIs" dxfId="3" priority="2" operator="lessThan">
      <formula>0</formula>
    </cfRule>
    <cfRule type="cellIs" dxfId="2" priority="3" operator="greaterThanOrEqual">
      <formula>0</formula>
    </cfRule>
  </conditionalFormatting>
  <conditionalFormatting sqref="E29:E31">
    <cfRule type="cellIs" dxfId="1" priority="5" operator="lessThan">
      <formula>0</formula>
    </cfRule>
    <cfRule type="cellIs" dxfId="0" priority="6" operator="greaterThanOrEqual">
      <formula>0</formula>
    </cfRule>
  </conditionalFormatting>
  <conditionalFormatting sqref="F19:F24">
    <cfRule type="dataBar" priority="4">
      <dataBar>
        <cfvo type="num" val="0"/>
        <cfvo type="num" val="1"/>
        <color rgb="FFC8A87C"/>
      </dataBar>
      <extLst>
        <ext xmlns:x14="http://schemas.microsoft.com/office/spreadsheetml/2009/9/main" uri="{B025F937-C7B1-47D3-B67F-A62EFF666E3E}">
          <x14:id>{4953DC19-CCCC-444D-BC83-F3DDD58972EB}</x14:id>
        </ext>
      </extLst>
    </cfRule>
  </conditionalFormatting>
  <pageMargins left="0.75" right="0.75" top="1" bottom="1" header="0.511811023622047" footer="0.511811023622047"/>
  <pageSetup orientation="landscape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53DC19-CCCC-444D-BC83-F3DDD58972EB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C8A87C"/>
            </x14:dataBar>
          </x14:cfRule>
          <xm:sqref>F19:F24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8.6328125" defaultRowHeight="14.5" x14ac:dyDescent="0.35"/>
  <sheetData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9B76"/>
  </sheetPr>
  <dimension ref="A1:D34"/>
  <sheetViews>
    <sheetView zoomScaleNormal="100" workbookViewId="0">
      <selection activeCell="D12" sqref="D12"/>
    </sheetView>
  </sheetViews>
  <sheetFormatPr defaultColWidth="8.6328125" defaultRowHeight="14.5" x14ac:dyDescent="0.35"/>
  <cols>
    <col min="1" max="1" width="13" customWidth="1"/>
    <col min="2" max="2" width="16" customWidth="1"/>
    <col min="3" max="3" width="30" customWidth="1"/>
    <col min="4" max="4" width="14" customWidth="1"/>
  </cols>
  <sheetData>
    <row r="1" spans="1:4" ht="28.5" x14ac:dyDescent="0.65">
      <c r="A1" s="4" t="s">
        <v>23</v>
      </c>
    </row>
    <row r="2" spans="1:4" x14ac:dyDescent="0.35">
      <c r="A2" s="5" t="s">
        <v>24</v>
      </c>
    </row>
    <row r="4" spans="1:4" x14ac:dyDescent="0.35">
      <c r="A4" s="2" t="s">
        <v>25</v>
      </c>
      <c r="B4" s="2" t="s">
        <v>26</v>
      </c>
      <c r="C4" s="2" t="s">
        <v>27</v>
      </c>
      <c r="D4" s="2" t="s">
        <v>28</v>
      </c>
    </row>
    <row r="5" spans="1:4" x14ac:dyDescent="0.35">
      <c r="A5" s="50">
        <v>45976</v>
      </c>
      <c r="B5" s="51" t="s">
        <v>29</v>
      </c>
      <c r="C5" s="51" t="s">
        <v>30</v>
      </c>
      <c r="D5" s="52">
        <v>18000</v>
      </c>
    </row>
    <row r="6" spans="1:4" x14ac:dyDescent="0.35">
      <c r="A6" s="50">
        <v>46006</v>
      </c>
      <c r="B6" s="51" t="s">
        <v>29</v>
      </c>
      <c r="C6" s="51" t="s">
        <v>30</v>
      </c>
      <c r="D6" s="52">
        <v>18000</v>
      </c>
    </row>
    <row r="7" spans="1:4" x14ac:dyDescent="0.35">
      <c r="A7" s="50">
        <v>46037</v>
      </c>
      <c r="B7" s="51" t="s">
        <v>29</v>
      </c>
      <c r="C7" s="51" t="s">
        <v>30</v>
      </c>
      <c r="D7" s="52">
        <v>18120</v>
      </c>
    </row>
    <row r="8" spans="1:4" x14ac:dyDescent="0.35">
      <c r="A8" s="50">
        <v>46068</v>
      </c>
      <c r="B8" s="51" t="s">
        <v>29</v>
      </c>
      <c r="C8" s="51" t="s">
        <v>30</v>
      </c>
      <c r="D8" s="52">
        <v>18450</v>
      </c>
    </row>
    <row r="9" spans="1:4" x14ac:dyDescent="0.35">
      <c r="A9" s="50">
        <v>46081</v>
      </c>
      <c r="B9" s="51" t="s">
        <v>31</v>
      </c>
      <c r="C9" s="51" t="s">
        <v>32</v>
      </c>
      <c r="D9" s="52">
        <v>450</v>
      </c>
    </row>
    <row r="10" spans="1:4" x14ac:dyDescent="0.35">
      <c r="A10" s="50">
        <v>46096</v>
      </c>
      <c r="B10" s="51" t="s">
        <v>29</v>
      </c>
      <c r="C10" s="51" t="s">
        <v>30</v>
      </c>
      <c r="D10" s="52">
        <v>18500</v>
      </c>
    </row>
    <row r="11" spans="1:4" x14ac:dyDescent="0.35">
      <c r="A11" s="9">
        <v>46275</v>
      </c>
      <c r="B11" s="10" t="s">
        <v>29</v>
      </c>
      <c r="C11" s="10" t="s">
        <v>30</v>
      </c>
      <c r="D11" s="11">
        <v>8000</v>
      </c>
    </row>
    <row r="12" spans="1:4" x14ac:dyDescent="0.35">
      <c r="A12" s="9"/>
      <c r="B12" s="10"/>
      <c r="C12" s="10"/>
      <c r="D12" s="11"/>
    </row>
    <row r="13" spans="1:4" x14ac:dyDescent="0.35">
      <c r="A13" s="9"/>
      <c r="B13" s="10"/>
      <c r="C13" s="10"/>
      <c r="D13" s="11"/>
    </row>
    <row r="14" spans="1:4" x14ac:dyDescent="0.35">
      <c r="A14" s="9"/>
      <c r="B14" s="10"/>
      <c r="C14" s="10"/>
      <c r="D14" s="11"/>
    </row>
    <row r="15" spans="1:4" x14ac:dyDescent="0.35">
      <c r="A15" s="9"/>
      <c r="B15" s="10"/>
      <c r="C15" s="10"/>
      <c r="D15" s="11"/>
    </row>
    <row r="16" spans="1:4" x14ac:dyDescent="0.35">
      <c r="A16" s="9"/>
      <c r="B16" s="10"/>
      <c r="C16" s="10"/>
      <c r="D16" s="11"/>
    </row>
    <row r="17" spans="1:4" x14ac:dyDescent="0.35">
      <c r="A17" s="9"/>
      <c r="B17" s="10"/>
      <c r="C17" s="10"/>
      <c r="D17" s="11"/>
    </row>
    <row r="18" spans="1:4" x14ac:dyDescent="0.35">
      <c r="A18" s="9"/>
      <c r="B18" s="10"/>
      <c r="C18" s="10"/>
      <c r="D18" s="11"/>
    </row>
    <row r="19" spans="1:4" x14ac:dyDescent="0.35">
      <c r="A19" s="9"/>
      <c r="B19" s="10"/>
      <c r="C19" s="10"/>
      <c r="D19" s="11"/>
    </row>
    <row r="20" spans="1:4" x14ac:dyDescent="0.35">
      <c r="A20" s="9"/>
      <c r="B20" s="10"/>
      <c r="C20" s="10"/>
      <c r="D20" s="11"/>
    </row>
    <row r="21" spans="1:4" x14ac:dyDescent="0.35">
      <c r="A21" s="9"/>
      <c r="B21" s="10"/>
      <c r="C21" s="10"/>
      <c r="D21" s="11"/>
    </row>
    <row r="22" spans="1:4" x14ac:dyDescent="0.35">
      <c r="A22" s="9"/>
      <c r="B22" s="10"/>
      <c r="C22" s="10"/>
      <c r="D22" s="11"/>
    </row>
    <row r="23" spans="1:4" x14ac:dyDescent="0.35">
      <c r="A23" s="9"/>
      <c r="B23" s="10"/>
      <c r="C23" s="10"/>
      <c r="D23" s="11"/>
    </row>
    <row r="24" spans="1:4" x14ac:dyDescent="0.35">
      <c r="A24" s="9"/>
      <c r="B24" s="10"/>
      <c r="C24" s="10"/>
      <c r="D24" s="11"/>
    </row>
    <row r="25" spans="1:4" x14ac:dyDescent="0.35">
      <c r="A25" s="9"/>
      <c r="B25" s="10"/>
      <c r="C25" s="10"/>
      <c r="D25" s="11"/>
    </row>
    <row r="26" spans="1:4" x14ac:dyDescent="0.35">
      <c r="A26" s="9"/>
      <c r="B26" s="10"/>
      <c r="C26" s="10"/>
      <c r="D26" s="11"/>
    </row>
    <row r="27" spans="1:4" x14ac:dyDescent="0.35">
      <c r="A27" s="9"/>
      <c r="B27" s="10"/>
      <c r="C27" s="10"/>
      <c r="D27" s="11"/>
    </row>
    <row r="28" spans="1:4" x14ac:dyDescent="0.35">
      <c r="A28" s="9"/>
      <c r="B28" s="10"/>
      <c r="C28" s="10"/>
      <c r="D28" s="11"/>
    </row>
    <row r="29" spans="1:4" x14ac:dyDescent="0.35">
      <c r="A29" s="9"/>
      <c r="B29" s="10"/>
      <c r="C29" s="10"/>
      <c r="D29" s="11"/>
    </row>
    <row r="30" spans="1:4" x14ac:dyDescent="0.35">
      <c r="A30" s="9"/>
      <c r="B30" s="10"/>
      <c r="C30" s="10"/>
      <c r="D30" s="11"/>
    </row>
    <row r="31" spans="1:4" x14ac:dyDescent="0.35">
      <c r="A31" s="9"/>
      <c r="B31" s="10"/>
      <c r="C31" s="10"/>
      <c r="D31" s="11"/>
    </row>
    <row r="32" spans="1:4" x14ac:dyDescent="0.35">
      <c r="A32" s="9"/>
      <c r="B32" s="10"/>
      <c r="C32" s="10"/>
      <c r="D32" s="11"/>
    </row>
    <row r="33" spans="1:4" x14ac:dyDescent="0.35">
      <c r="A33" s="9"/>
      <c r="B33" s="10"/>
      <c r="C33" s="10"/>
      <c r="D33" s="11"/>
    </row>
    <row r="34" spans="1:4" x14ac:dyDescent="0.35">
      <c r="A34" s="9"/>
      <c r="B34" s="10"/>
      <c r="C34" s="10"/>
      <c r="D34" s="11"/>
    </row>
  </sheetData>
  <dataValidations count="1">
    <dataValidation type="list" allowBlank="1" sqref="B5:B34" xr:uid="{00000000-0002-0000-0200-000000000000}">
      <formula1>"Salary,Interest,Dividends"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8A87C"/>
  </sheetPr>
  <dimension ref="A1:E48"/>
  <sheetViews>
    <sheetView zoomScaleNormal="100" workbookViewId="0"/>
  </sheetViews>
  <sheetFormatPr defaultColWidth="8.6328125" defaultRowHeight="14.5" x14ac:dyDescent="0.35"/>
  <cols>
    <col min="1" max="1" width="13" customWidth="1"/>
    <col min="2" max="2" width="20" customWidth="1"/>
    <col min="3" max="3" width="30" customWidth="1"/>
    <col min="4" max="4" width="14" customWidth="1"/>
    <col min="5" max="5" width="17" customWidth="1"/>
  </cols>
  <sheetData>
    <row r="1" spans="1:5" ht="28.5" x14ac:dyDescent="0.65">
      <c r="A1" s="4" t="s">
        <v>33</v>
      </c>
    </row>
    <row r="2" spans="1:5" x14ac:dyDescent="0.35">
      <c r="A2" s="5" t="s">
        <v>34</v>
      </c>
    </row>
    <row r="4" spans="1:5" x14ac:dyDescent="0.35">
      <c r="A4" s="2" t="s">
        <v>25</v>
      </c>
      <c r="B4" s="2" t="s">
        <v>6</v>
      </c>
      <c r="C4" s="2" t="s">
        <v>27</v>
      </c>
      <c r="D4" s="2" t="s">
        <v>28</v>
      </c>
      <c r="E4" s="2" t="s">
        <v>35</v>
      </c>
    </row>
    <row r="5" spans="1:5" x14ac:dyDescent="0.35">
      <c r="A5" s="6">
        <v>45966</v>
      </c>
      <c r="B5" s="7" t="s">
        <v>11</v>
      </c>
      <c r="C5" s="7" t="s">
        <v>36</v>
      </c>
      <c r="D5" s="8">
        <v>5000</v>
      </c>
      <c r="E5" s="7" t="s">
        <v>37</v>
      </c>
    </row>
    <row r="6" spans="1:5" x14ac:dyDescent="0.35">
      <c r="A6" s="6">
        <v>45996</v>
      </c>
      <c r="B6" s="7" t="s">
        <v>11</v>
      </c>
      <c r="C6" s="7" t="s">
        <v>36</v>
      </c>
      <c r="D6" s="8">
        <v>5000</v>
      </c>
      <c r="E6" s="7" t="s">
        <v>37</v>
      </c>
    </row>
    <row r="7" spans="1:5" x14ac:dyDescent="0.35">
      <c r="A7" s="6">
        <v>46027</v>
      </c>
      <c r="B7" s="7" t="s">
        <v>11</v>
      </c>
      <c r="C7" s="7" t="s">
        <v>36</v>
      </c>
      <c r="D7" s="8">
        <v>5000</v>
      </c>
      <c r="E7" s="7" t="s">
        <v>37</v>
      </c>
    </row>
    <row r="8" spans="1:5" x14ac:dyDescent="0.35">
      <c r="A8" s="6">
        <v>46030</v>
      </c>
      <c r="B8" s="7" t="s">
        <v>11</v>
      </c>
      <c r="C8" s="7" t="s">
        <v>38</v>
      </c>
      <c r="D8" s="8">
        <v>1180</v>
      </c>
      <c r="E8" s="7" t="s">
        <v>37</v>
      </c>
    </row>
    <row r="9" spans="1:5" x14ac:dyDescent="0.35">
      <c r="A9" s="6">
        <v>46034</v>
      </c>
      <c r="B9" s="7" t="s">
        <v>12</v>
      </c>
      <c r="C9" s="7" t="s">
        <v>39</v>
      </c>
      <c r="D9" s="8">
        <v>320</v>
      </c>
      <c r="E9" s="7" t="s">
        <v>40</v>
      </c>
    </row>
    <row r="10" spans="1:5" x14ac:dyDescent="0.35">
      <c r="A10" s="6">
        <v>46040</v>
      </c>
      <c r="B10" s="7" t="s">
        <v>13</v>
      </c>
      <c r="C10" s="7" t="s">
        <v>41</v>
      </c>
      <c r="D10" s="8">
        <v>480</v>
      </c>
      <c r="E10" s="7" t="s">
        <v>42</v>
      </c>
    </row>
    <row r="11" spans="1:5" x14ac:dyDescent="0.35">
      <c r="A11" s="6">
        <v>46044</v>
      </c>
      <c r="B11" s="7" t="s">
        <v>14</v>
      </c>
      <c r="C11" s="7" t="s">
        <v>43</v>
      </c>
      <c r="D11" s="8">
        <v>1250</v>
      </c>
      <c r="E11" s="7" t="s">
        <v>42</v>
      </c>
    </row>
    <row r="12" spans="1:5" x14ac:dyDescent="0.35">
      <c r="A12" s="6">
        <v>46058</v>
      </c>
      <c r="B12" s="7" t="s">
        <v>11</v>
      </c>
      <c r="C12" s="7" t="s">
        <v>36</v>
      </c>
      <c r="D12" s="8">
        <v>5000</v>
      </c>
      <c r="E12" s="7" t="s">
        <v>37</v>
      </c>
    </row>
    <row r="13" spans="1:5" x14ac:dyDescent="0.35">
      <c r="A13" s="6">
        <v>46063</v>
      </c>
      <c r="B13" s="7" t="s">
        <v>15</v>
      </c>
      <c r="C13" s="7" t="s">
        <v>44</v>
      </c>
      <c r="D13" s="8">
        <v>620</v>
      </c>
      <c r="E13" s="7" t="s">
        <v>40</v>
      </c>
    </row>
    <row r="14" spans="1:5" x14ac:dyDescent="0.35">
      <c r="A14" s="6">
        <v>46069</v>
      </c>
      <c r="B14" s="7" t="s">
        <v>12</v>
      </c>
      <c r="C14" s="7" t="s">
        <v>45</v>
      </c>
      <c r="D14" s="8">
        <v>450</v>
      </c>
      <c r="E14" s="7" t="s">
        <v>42</v>
      </c>
    </row>
    <row r="15" spans="1:5" x14ac:dyDescent="0.35">
      <c r="A15" s="6">
        <v>46073</v>
      </c>
      <c r="B15" s="7" t="s">
        <v>13</v>
      </c>
      <c r="C15" s="7" t="s">
        <v>41</v>
      </c>
      <c r="D15" s="8">
        <v>520</v>
      </c>
      <c r="E15" s="7" t="s">
        <v>42</v>
      </c>
    </row>
    <row r="16" spans="1:5" x14ac:dyDescent="0.35">
      <c r="A16" s="6">
        <v>46078</v>
      </c>
      <c r="B16" s="7" t="s">
        <v>16</v>
      </c>
      <c r="C16" s="7" t="s">
        <v>46</v>
      </c>
      <c r="D16" s="8">
        <v>300</v>
      </c>
      <c r="E16" s="7" t="s">
        <v>40</v>
      </c>
    </row>
    <row r="17" spans="1:5" x14ac:dyDescent="0.35">
      <c r="A17" s="6">
        <v>46086</v>
      </c>
      <c r="B17" s="7" t="s">
        <v>11</v>
      </c>
      <c r="C17" s="7" t="s">
        <v>36</v>
      </c>
      <c r="D17" s="8">
        <v>5000</v>
      </c>
      <c r="E17" s="7" t="s">
        <v>37</v>
      </c>
    </row>
    <row r="18" spans="1:5" x14ac:dyDescent="0.35">
      <c r="A18" s="6">
        <v>46092</v>
      </c>
      <c r="B18" s="7" t="s">
        <v>14</v>
      </c>
      <c r="C18" s="7" t="s">
        <v>47</v>
      </c>
      <c r="D18" s="8">
        <v>549</v>
      </c>
      <c r="E18" s="7" t="s">
        <v>42</v>
      </c>
    </row>
    <row r="19" spans="1:5" x14ac:dyDescent="0.35">
      <c r="A19" s="6">
        <v>46100</v>
      </c>
      <c r="B19" s="7" t="s">
        <v>12</v>
      </c>
      <c r="C19" s="7" t="s">
        <v>48</v>
      </c>
      <c r="D19" s="8">
        <v>400</v>
      </c>
      <c r="E19" s="7" t="s">
        <v>40</v>
      </c>
    </row>
    <row r="20" spans="1:5" x14ac:dyDescent="0.35">
      <c r="A20" s="6">
        <v>46105</v>
      </c>
      <c r="B20" s="7" t="s">
        <v>13</v>
      </c>
      <c r="C20" s="7" t="s">
        <v>41</v>
      </c>
      <c r="D20" s="8">
        <v>510</v>
      </c>
      <c r="E20" s="7" t="s">
        <v>42</v>
      </c>
    </row>
    <row r="21" spans="1:5" x14ac:dyDescent="0.35">
      <c r="A21" s="9"/>
      <c r="B21" s="10"/>
      <c r="C21" s="10"/>
      <c r="D21" s="11"/>
      <c r="E21" s="10"/>
    </row>
    <row r="22" spans="1:5" x14ac:dyDescent="0.35">
      <c r="A22" s="9"/>
      <c r="B22" s="10"/>
      <c r="C22" s="10"/>
      <c r="D22" s="11"/>
      <c r="E22" s="10"/>
    </row>
    <row r="23" spans="1:5" x14ac:dyDescent="0.35">
      <c r="A23" s="9"/>
      <c r="B23" s="10"/>
      <c r="C23" s="10"/>
      <c r="D23" s="11"/>
      <c r="E23" s="10"/>
    </row>
    <row r="24" spans="1:5" x14ac:dyDescent="0.35">
      <c r="A24" s="9"/>
      <c r="B24" s="10"/>
      <c r="C24" s="10"/>
      <c r="D24" s="11"/>
      <c r="E24" s="10"/>
    </row>
    <row r="25" spans="1:5" x14ac:dyDescent="0.35">
      <c r="A25" s="9"/>
      <c r="B25" s="10"/>
      <c r="C25" s="10"/>
      <c r="D25" s="11"/>
      <c r="E25" s="10"/>
    </row>
    <row r="26" spans="1:5" x14ac:dyDescent="0.35">
      <c r="A26" s="9"/>
      <c r="B26" s="10"/>
      <c r="C26" s="10"/>
      <c r="D26" s="11"/>
      <c r="E26" s="10"/>
    </row>
    <row r="27" spans="1:5" x14ac:dyDescent="0.35">
      <c r="A27" s="9"/>
      <c r="B27" s="10"/>
      <c r="C27" s="10"/>
      <c r="D27" s="11"/>
      <c r="E27" s="10"/>
    </row>
    <row r="28" spans="1:5" x14ac:dyDescent="0.35">
      <c r="A28" s="9"/>
      <c r="B28" s="10"/>
      <c r="C28" s="10"/>
      <c r="D28" s="11"/>
      <c r="E28" s="10"/>
    </row>
    <row r="29" spans="1:5" x14ac:dyDescent="0.35">
      <c r="A29" s="9"/>
      <c r="B29" s="10"/>
      <c r="C29" s="10"/>
      <c r="D29" s="11"/>
      <c r="E29" s="10"/>
    </row>
    <row r="30" spans="1:5" x14ac:dyDescent="0.35">
      <c r="A30" s="9"/>
      <c r="B30" s="10"/>
      <c r="C30" s="10"/>
      <c r="D30" s="11"/>
      <c r="E30" s="10"/>
    </row>
    <row r="31" spans="1:5" x14ac:dyDescent="0.35">
      <c r="A31" s="9"/>
      <c r="B31" s="10"/>
      <c r="C31" s="10"/>
      <c r="D31" s="11"/>
      <c r="E31" s="10"/>
    </row>
    <row r="32" spans="1:5" x14ac:dyDescent="0.35">
      <c r="A32" s="9"/>
      <c r="B32" s="10"/>
      <c r="C32" s="10"/>
      <c r="D32" s="11"/>
      <c r="E32" s="10"/>
    </row>
    <row r="33" spans="1:5" x14ac:dyDescent="0.35">
      <c r="A33" s="9"/>
      <c r="B33" s="10"/>
      <c r="C33" s="10"/>
      <c r="D33" s="11"/>
      <c r="E33" s="10"/>
    </row>
    <row r="34" spans="1:5" x14ac:dyDescent="0.35">
      <c r="A34" s="9"/>
      <c r="B34" s="10"/>
      <c r="C34" s="10"/>
      <c r="D34" s="11"/>
      <c r="E34" s="10"/>
    </row>
    <row r="35" spans="1:5" x14ac:dyDescent="0.35">
      <c r="A35" s="9"/>
      <c r="B35" s="10"/>
      <c r="C35" s="10"/>
      <c r="D35" s="11"/>
      <c r="E35" s="10"/>
    </row>
    <row r="36" spans="1:5" x14ac:dyDescent="0.35">
      <c r="A36" s="9"/>
      <c r="B36" s="10"/>
      <c r="C36" s="10"/>
      <c r="D36" s="11"/>
      <c r="E36" s="10"/>
    </row>
    <row r="37" spans="1:5" x14ac:dyDescent="0.35">
      <c r="A37" s="9"/>
      <c r="B37" s="10"/>
      <c r="C37" s="10"/>
      <c r="D37" s="11"/>
      <c r="E37" s="10"/>
    </row>
    <row r="38" spans="1:5" x14ac:dyDescent="0.35">
      <c r="A38" s="9"/>
      <c r="B38" s="10"/>
      <c r="C38" s="10"/>
      <c r="D38" s="11"/>
      <c r="E38" s="10"/>
    </row>
    <row r="39" spans="1:5" x14ac:dyDescent="0.35">
      <c r="A39" s="9"/>
      <c r="B39" s="10"/>
      <c r="C39" s="10"/>
      <c r="D39" s="11"/>
      <c r="E39" s="10"/>
    </row>
    <row r="40" spans="1:5" x14ac:dyDescent="0.35">
      <c r="A40" s="9"/>
      <c r="B40" s="10"/>
      <c r="C40" s="10"/>
      <c r="D40" s="11"/>
      <c r="E40" s="10"/>
    </row>
    <row r="41" spans="1:5" x14ac:dyDescent="0.35">
      <c r="A41" s="9"/>
      <c r="B41" s="10"/>
      <c r="C41" s="10"/>
      <c r="D41" s="11"/>
      <c r="E41" s="10"/>
    </row>
    <row r="42" spans="1:5" x14ac:dyDescent="0.35">
      <c r="A42" s="9"/>
      <c r="B42" s="10"/>
      <c r="C42" s="10"/>
      <c r="D42" s="11"/>
      <c r="E42" s="10"/>
    </row>
    <row r="43" spans="1:5" x14ac:dyDescent="0.35">
      <c r="A43" s="9"/>
      <c r="B43" s="10"/>
      <c r="C43" s="10"/>
      <c r="D43" s="11"/>
      <c r="E43" s="10"/>
    </row>
    <row r="44" spans="1:5" x14ac:dyDescent="0.35">
      <c r="A44" s="9"/>
      <c r="B44" s="10"/>
      <c r="C44" s="10"/>
      <c r="D44" s="11"/>
      <c r="E44" s="10"/>
    </row>
    <row r="45" spans="1:5" x14ac:dyDescent="0.35">
      <c r="A45" s="9"/>
      <c r="B45" s="10"/>
      <c r="C45" s="10"/>
      <c r="D45" s="11"/>
      <c r="E45" s="10"/>
    </row>
    <row r="46" spans="1:5" x14ac:dyDescent="0.35">
      <c r="A46" s="9"/>
      <c r="B46" s="10"/>
      <c r="C46" s="10"/>
      <c r="D46" s="11"/>
      <c r="E46" s="10"/>
    </row>
    <row r="47" spans="1:5" x14ac:dyDescent="0.35">
      <c r="A47" s="9"/>
      <c r="B47" s="10"/>
      <c r="C47" s="10"/>
      <c r="D47" s="11"/>
      <c r="E47" s="10"/>
    </row>
    <row r="48" spans="1:5" x14ac:dyDescent="0.35">
      <c r="A48" s="9"/>
      <c r="B48" s="10"/>
      <c r="C48" s="10"/>
      <c r="D48" s="11"/>
      <c r="E48" s="10"/>
    </row>
  </sheetData>
  <dataValidations count="2">
    <dataValidation type="list" allowBlank="1" sqref="B5:B48" xr:uid="{00000000-0002-0000-0300-000000000000}">
      <formula1>"Living Expenses,Dining Out,Transport,Discretionary,Medical,Charity"</formula1>
      <formula2>0</formula2>
    </dataValidation>
    <dataValidation type="list" allowBlank="1" sqref="E5:E48" xr:uid="{00000000-0002-0000-0300-000001000000}">
      <formula1>"Cash,GCash,Bank Transfer,Credit Card,Debit Card"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"/>
  <sheetViews>
    <sheetView zoomScaleNormal="100" workbookViewId="0"/>
  </sheetViews>
  <sheetFormatPr defaultColWidth="8.6328125" defaultRowHeight="14.5" x14ac:dyDescent="0.35"/>
  <cols>
    <col min="1" max="1" width="24" customWidth="1"/>
    <col min="2" max="2" width="18" customWidth="1"/>
  </cols>
  <sheetData>
    <row r="1" spans="1:2" ht="28.5" x14ac:dyDescent="0.65">
      <c r="A1" s="4" t="s">
        <v>49</v>
      </c>
    </row>
    <row r="2" spans="1:2" x14ac:dyDescent="0.35">
      <c r="A2" s="5" t="s">
        <v>50</v>
      </c>
    </row>
    <row r="4" spans="1:2" x14ac:dyDescent="0.35">
      <c r="A4" s="2" t="s">
        <v>6</v>
      </c>
      <c r="B4" s="2" t="s">
        <v>49</v>
      </c>
    </row>
    <row r="5" spans="1:2" x14ac:dyDescent="0.35">
      <c r="A5" s="10" t="s">
        <v>11</v>
      </c>
      <c r="B5" s="8">
        <v>6500</v>
      </c>
    </row>
    <row r="6" spans="1:2" x14ac:dyDescent="0.35">
      <c r="A6" s="10" t="s">
        <v>12</v>
      </c>
      <c r="B6" s="8">
        <v>1000</v>
      </c>
    </row>
    <row r="7" spans="1:2" x14ac:dyDescent="0.35">
      <c r="A7" s="10" t="s">
        <v>13</v>
      </c>
      <c r="B7" s="8">
        <v>1200</v>
      </c>
    </row>
    <row r="8" spans="1:2" x14ac:dyDescent="0.35">
      <c r="A8" s="10" t="s">
        <v>14</v>
      </c>
      <c r="B8" s="8">
        <v>1500</v>
      </c>
    </row>
    <row r="9" spans="1:2" x14ac:dyDescent="0.35">
      <c r="A9" s="10" t="s">
        <v>15</v>
      </c>
      <c r="B9" s="8">
        <v>800</v>
      </c>
    </row>
    <row r="10" spans="1:2" x14ac:dyDescent="0.35">
      <c r="A10" s="10" t="s">
        <v>16</v>
      </c>
      <c r="B10" s="8">
        <v>400</v>
      </c>
    </row>
    <row r="11" spans="1:2" x14ac:dyDescent="0.35">
      <c r="A11" s="3" t="s">
        <v>51</v>
      </c>
      <c r="B11" s="12">
        <f>SUM(B5:B10)</f>
        <v>11400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Dashboard</vt:lpstr>
      <vt:lpstr>Sheet</vt:lpstr>
      <vt:lpstr>Income</vt:lpstr>
      <vt:lpstr>Expenses</vt:lpstr>
      <vt:lpstr>Budget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katrina.rey.04@gmail.com</cp:lastModifiedBy>
  <cp:revision>1</cp:revision>
  <dcterms:created xsi:type="dcterms:W3CDTF">2026-09-15T17:08:08Z</dcterms:created>
  <dcterms:modified xsi:type="dcterms:W3CDTF">2026-09-15T17:27:02Z</dcterms:modified>
  <dc:language>en-US</dc:language>
</cp:coreProperties>
</file>