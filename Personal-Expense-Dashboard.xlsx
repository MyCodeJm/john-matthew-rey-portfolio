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nsactions" sheetId="2" state="visible" r:id="rId4"/>
    <sheet name="Budget" sheetId="3" state="visible" r:id="rId5"/>
  </sheets>
  <definedNames>
    <definedName function="false" hidden="false" localSheetId="0" name="_xlnm.Print_Area" vbProcedure="false">Dashboard!$A$1:$Q$47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<sst xmlns="http://schemas.openxmlformats.org/spreadsheetml/2006/main" count="152" uniqueCount="59">
  <si>
    <t xml:space="preserve">Personal Expense Dashboard</t>
  </si>
  <si>
    <t xml:space="preserve">Overview of spending across all logged transactions</t>
  </si>
  <si>
    <t xml:space="preserve">Total Spent</t>
  </si>
  <si>
    <t xml:space="preserve">Total Budget</t>
  </si>
  <si>
    <t xml:space="preserve">Budget Remaining</t>
  </si>
  <si>
    <t xml:space="preserve">Avg. Daily Spend</t>
  </si>
  <si>
    <t xml:space="preserve">Top Category</t>
  </si>
  <si>
    <t xml:space="preserve">Monthly Spending</t>
  </si>
  <si>
    <t xml:space="preserve">Month</t>
  </si>
  <si>
    <t xml:space="preserve">June 2026</t>
  </si>
  <si>
    <t xml:space="preserve">July 2026</t>
  </si>
  <si>
    <t xml:space="preserve">August 2026</t>
  </si>
  <si>
    <t xml:space="preserve">Expense Log</t>
  </si>
  <si>
    <t xml:space="preserve">Add your own rows below the sample data. Date, Category, Description, Amount, Payment Method are all required.</t>
  </si>
  <si>
    <t xml:space="preserve">Date</t>
  </si>
  <si>
    <t xml:space="preserve">Category</t>
  </si>
  <si>
    <t xml:space="preserve">Description</t>
  </si>
  <si>
    <t xml:space="preserve">Amount</t>
  </si>
  <si>
    <t xml:space="preserve">Payment Method</t>
  </si>
  <si>
    <t xml:space="preserve">Rent/Housing</t>
  </si>
  <si>
    <t xml:space="preserve">Monthly room rent</t>
  </si>
  <si>
    <t xml:space="preserve">Bank Transfer</t>
  </si>
  <si>
    <t xml:space="preserve">Food &amp; Groceries</t>
  </si>
  <si>
    <t xml:space="preserve">Puregold grocery run</t>
  </si>
  <si>
    <t xml:space="preserve">Cash</t>
  </si>
  <si>
    <t xml:space="preserve">Transportation</t>
  </si>
  <si>
    <t xml:space="preserve">Grab to work (week)</t>
  </si>
  <si>
    <t xml:space="preserve">GCash</t>
  </si>
  <si>
    <t xml:space="preserve">Communication (Load/Data)</t>
  </si>
  <si>
    <t xml:space="preserve">Globe prepaid load</t>
  </si>
  <si>
    <t xml:space="preserve">Utilities</t>
  </si>
  <si>
    <t xml:space="preserve">Meralco electric bill</t>
  </si>
  <si>
    <t xml:space="preserve">Jollibee lunch w/ officemates</t>
  </si>
  <si>
    <t xml:space="preserve">Health &amp; Personal Care</t>
  </si>
  <si>
    <t xml:space="preserve">Watsons toiletries</t>
  </si>
  <si>
    <t xml:space="preserve">PLDT home internet</t>
  </si>
  <si>
    <t xml:space="preserve">Entertainment</t>
  </si>
  <si>
    <t xml:space="preserve">Movie night (SM Cinema)</t>
  </si>
  <si>
    <t xml:space="preserve">Savings/Investments</t>
  </si>
  <si>
    <t xml:space="preserve">Transfer to savings account</t>
  </si>
  <si>
    <t xml:space="preserve">Weekly groceries</t>
  </si>
  <si>
    <t xml:space="preserve">Shopping</t>
  </si>
  <si>
    <t xml:space="preserve">Shopee - new work shoes</t>
  </si>
  <si>
    <t xml:space="preserve">Miscellaneous</t>
  </si>
  <si>
    <t xml:space="preserve">Barbershop</t>
  </si>
  <si>
    <t xml:space="preserve">Streaming subscription</t>
  </si>
  <si>
    <t xml:space="preserve">New phone case &amp; charger</t>
  </si>
  <si>
    <t xml:space="preserve">Vitamins &amp; meds</t>
  </si>
  <si>
    <t xml:space="preserve">Birthday gift for a friend</t>
  </si>
  <si>
    <t xml:space="preserve">Concert ticket w/ friends</t>
  </si>
  <si>
    <t xml:space="preserve">Shopee - work clothes</t>
  </si>
  <si>
    <t xml:space="preserve">Load for family</t>
  </si>
  <si>
    <t xml:space="preserve">Monthly Budget vs. Actual</t>
  </si>
  <si>
    <t xml:space="preserve">Edit the Monthly Budget column (blue) to match your own targets — everything else recalculates.</t>
  </si>
  <si>
    <t xml:space="preserve">Monthly Budget</t>
  </si>
  <si>
    <t xml:space="preserve">Actual Spent</t>
  </si>
  <si>
    <t xml:space="preserve">Remaining</t>
  </si>
  <si>
    <t xml:space="preserve">% Used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</si>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</sst>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₱#,##0.00;&quot;(₱&quot;#,##0.00\)"/>
    <numFmt numFmtId="166" formatCode="yyyy\-mm\-dd"/>
    <numFmt numFmtId="167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B2B29"/>
      <name val="Arial"/>
      <family val="0"/>
      <charset val="1"/>
    </font>
    <font>
      <sz val="10"/>
      <color rgb="FF5B6C69"/>
      <name val="Arial"/>
      <family val="0"/>
      <charset val="1"/>
    </font>
    <font>
      <b val="true"/>
      <sz val="9"/>
      <color rgb="FF5B6C69"/>
      <name val="Arial"/>
      <family val="0"/>
      <charset val="1"/>
    </font>
    <font>
      <b val="true"/>
      <sz val="20"/>
      <color rgb="FF0F766E"/>
      <name val="Arial"/>
      <family val="0"/>
      <charset val="1"/>
    </font>
    <font>
      <b val="true"/>
      <sz val="13"/>
      <color rgb="FFE8604C"/>
      <name val="Arial"/>
      <family val="0"/>
      <charset val="1"/>
    </font>
    <font>
      <b val="true"/>
      <sz val="13"/>
      <color rgb="FF1B2B2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B2B2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8"/>
      <color rgb="FF1B2B2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B2B2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6F3F1"/>
        <bgColor rgb="FFF4F5F5"/>
      </patternFill>
    </fill>
    <fill>
      <patternFill patternType="solid">
        <fgColor rgb="FF0F766E"/>
        <bgColor rgb="FF4672A8"/>
      </patternFill>
    </fill>
    <fill>
      <patternFill patternType="solid">
        <fgColor rgb="FFF4F5F5"/>
        <bgColor rgb="FFE6F3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B2B2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E8604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F766E"/>
      <rgbColor rgb="FFB8CD97"/>
      <rgbColor rgb="FF878787"/>
      <rgbColor rgb="FF93A9CE"/>
      <rgbColor rgb="FFAB4744"/>
      <rgbColor rgb="FFF4F5F5"/>
      <rgbColor rgb="FFE6F3F1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DDDDDD"/>
      <rgbColor rgb="FFFFFF9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E8604C"/>
      <rgbColor rgb="FF725990"/>
      <rgbColor rgb="FFA99BBD"/>
      <rgbColor rgb="FF003366"/>
      <rgbColor rgb="FF4299B0"/>
      <rgbColor rgb="FF003300"/>
      <rgbColor rgb="FF333300"/>
      <rgbColor rgb="FF993300"/>
      <rgbColor rgb="FFC0504D"/>
      <rgbColor rgb="FF5B6C69"/>
      <rgbColor rgb="FF1B2B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Spending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Budget!C4</c:f>
              <c:strCache>
                <c:ptCount val="1"/>
                <c:pt idx="0">
                  <c:v>Actual Spent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Budget!$A$5:$A$14</c:f>
              <c:strCache>
                <c:ptCount val="10"/>
                <c:pt idx="0">
                  <c:v>Food &amp; Groceries</c:v>
                </c:pt>
                <c:pt idx="1">
                  <c:v>Transportation</c:v>
                </c:pt>
                <c:pt idx="2">
                  <c:v>Utilities</c:v>
                </c:pt>
                <c:pt idx="3">
                  <c:v>Rent/Housing</c:v>
                </c:pt>
                <c:pt idx="4">
                  <c:v>Communication (Load/Data)</c:v>
                </c:pt>
                <c:pt idx="5">
                  <c:v>Health &amp; Personal Care</c:v>
                </c:pt>
                <c:pt idx="6">
                  <c:v>Entertainment</c:v>
                </c:pt>
                <c:pt idx="7">
                  <c:v>Shopping</c:v>
                </c:pt>
                <c:pt idx="8">
                  <c:v>Savings/Investments</c:v>
                </c:pt>
                <c:pt idx="9">
                  <c:v>Miscellaneous</c:v>
                </c:pt>
              </c:strCache>
            </c:strRef>
          </c:cat>
          <c:val>
            <c:numRef>
              <c:f>Budget!$C$5:$C$14</c:f>
              <c:numCache>
                <c:formatCode>\₱#,##0.00;"(₱"#,##0.00\)</c:formatCode>
                <c:ptCount val="10"/>
                <c:pt idx="0">
                  <c:v>10290</c:v>
                </c:pt>
                <c:pt idx="1">
                  <c:v>1610</c:v>
                </c:pt>
                <c:pt idx="2">
                  <c:v>9037</c:v>
                </c:pt>
                <c:pt idx="3">
                  <c:v>15000</c:v>
                </c:pt>
                <c:pt idx="4">
                  <c:v>897</c:v>
                </c:pt>
                <c:pt idx="5">
                  <c:v>1640</c:v>
                </c:pt>
                <c:pt idx="6">
                  <c:v>2199</c:v>
                </c:pt>
                <c:pt idx="7">
                  <c:v>3620</c:v>
                </c:pt>
                <c:pt idx="8">
                  <c:v>9000</c:v>
                </c:pt>
                <c:pt idx="9">
                  <c:v>950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Actual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Budget!B4</c:f>
              <c:strCache>
                <c:ptCount val="1"/>
                <c:pt idx="0">
                  <c:v>Monthly Budget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Budget!$A$5:$A$14</c:f>
              <c:strCache>
                <c:ptCount val="10"/>
                <c:pt idx="0">
                  <c:v>Food &amp; Groceries</c:v>
                </c:pt>
                <c:pt idx="1">
                  <c:v>Transportation</c:v>
                </c:pt>
                <c:pt idx="2">
                  <c:v>Utilities</c:v>
                </c:pt>
                <c:pt idx="3">
                  <c:v>Rent/Housing</c:v>
                </c:pt>
                <c:pt idx="4">
                  <c:v>Communication (Load/Data)</c:v>
                </c:pt>
                <c:pt idx="5">
                  <c:v>Health &amp; Personal Care</c:v>
                </c:pt>
                <c:pt idx="6">
                  <c:v>Entertainment</c:v>
                </c:pt>
                <c:pt idx="7">
                  <c:v>Shopping</c:v>
                </c:pt>
                <c:pt idx="8">
                  <c:v>Savings/Investments</c:v>
                </c:pt>
                <c:pt idx="9">
                  <c:v>Miscellaneous</c:v>
                </c:pt>
              </c:strCache>
            </c:strRef>
          </c:cat>
          <c:val>
            <c:numRef>
              <c:f>Budget!$B$5:$B$14</c:f>
              <c:numCache>
                <c:formatCode>\₱#,##0.00;"(₱"#,##0.00\)</c:formatCode>
                <c:ptCount val="10"/>
                <c:pt idx="0">
                  <c:v>6000</c:v>
                </c:pt>
                <c:pt idx="1">
                  <c:v>2000</c:v>
                </c:pt>
                <c:pt idx="2">
                  <c:v>5000</c:v>
                </c:pt>
                <c:pt idx="3">
                  <c:v>5000</c:v>
                </c:pt>
                <c:pt idx="4">
                  <c:v>800</c:v>
                </c:pt>
                <c:pt idx="5">
                  <c:v>1000</c:v>
                </c:pt>
                <c:pt idx="6">
                  <c:v>1000</c:v>
                </c:pt>
                <c:pt idx="7">
                  <c:v>1500</c:v>
                </c:pt>
                <c:pt idx="8">
                  <c:v>3000</c:v>
                </c:pt>
                <c:pt idx="9">
                  <c:v>700</c:v>
                </c:pt>
              </c:numCache>
            </c:numRef>
          </c:val>
        </c:ser>
        <c:ser>
          <c:idx val="1"/>
          <c:order val="1"/>
          <c:tx>
            <c:strRef>
              <c:f>Budget!C4</c:f>
              <c:strCache>
                <c:ptCount val="1"/>
                <c:pt idx="0">
                  <c:v>Actual Spent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Budget!$A$5:$A$14</c:f>
              <c:strCache>
                <c:ptCount val="10"/>
                <c:pt idx="0">
                  <c:v>Food &amp; Groceries</c:v>
                </c:pt>
                <c:pt idx="1">
                  <c:v>Transportation</c:v>
                </c:pt>
                <c:pt idx="2">
                  <c:v>Utilities</c:v>
                </c:pt>
                <c:pt idx="3">
                  <c:v>Rent/Housing</c:v>
                </c:pt>
                <c:pt idx="4">
                  <c:v>Communication (Load/Data)</c:v>
                </c:pt>
                <c:pt idx="5">
                  <c:v>Health &amp; Personal Care</c:v>
                </c:pt>
                <c:pt idx="6">
                  <c:v>Entertainment</c:v>
                </c:pt>
                <c:pt idx="7">
                  <c:v>Shopping</c:v>
                </c:pt>
                <c:pt idx="8">
                  <c:v>Savings/Investments</c:v>
                </c:pt>
                <c:pt idx="9">
                  <c:v>Miscellaneous</c:v>
                </c:pt>
              </c:strCache>
            </c:strRef>
          </c:cat>
          <c:val>
            <c:numRef>
              <c:f>Budget!$C$5:$C$14</c:f>
              <c:numCache>
                <c:formatCode>\₱#,##0.00;"(₱"#,##0.00\)</c:formatCode>
                <c:ptCount val="10"/>
                <c:pt idx="0">
                  <c:v>10290</c:v>
                </c:pt>
                <c:pt idx="1">
                  <c:v>1610</c:v>
                </c:pt>
                <c:pt idx="2">
                  <c:v>9037</c:v>
                </c:pt>
                <c:pt idx="3">
                  <c:v>15000</c:v>
                </c:pt>
                <c:pt idx="4">
                  <c:v>897</c:v>
                </c:pt>
                <c:pt idx="5">
                  <c:v>1640</c:v>
                </c:pt>
                <c:pt idx="6">
                  <c:v>2199</c:v>
                </c:pt>
                <c:pt idx="7">
                  <c:v>3620</c:v>
                </c:pt>
                <c:pt idx="8">
                  <c:v>9000</c:v>
                </c:pt>
                <c:pt idx="9">
                  <c:v>950</c:v>
                </c:pt>
              </c:numCache>
            </c:numRef>
          </c:val>
        </c:ser>
        <c:gapWidth val="60"/>
        <c:overlap val="0"/>
        <c:axId val="4858788"/>
        <c:axId val="81398496"/>
      </c:barChart>
      <c:catAx>
        <c:axId val="48587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98496"/>
        <c:crosses val="autoZero"/>
        <c:auto val="1"/>
        <c:lblAlgn val="ctr"/>
        <c:lblOffset val="100"/>
        <c:noMultiLvlLbl val="0"/>
      </c:catAx>
      <c:valAx>
        <c:axId val="813984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 (₱)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₱#,##0.00;&quot;(₱&quot;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87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Total Spent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Dashboard!$B$13:$B$15</c:f>
              <c:strCache>
                <c:ptCount val="3"/>
                <c:pt idx="0">
                  <c:v>June 2026</c:v>
                </c:pt>
                <c:pt idx="1">
                  <c:v>July 2026</c:v>
                </c:pt>
                <c:pt idx="2">
                  <c:v>August 2026</c:v>
                </c:pt>
              </c:strCache>
            </c:strRef>
          </c:cat>
          <c:val>
            <c:numRef>
              <c:f>Dashboard!$C$13:$C$15</c:f>
              <c:numCache>
                <c:formatCode>\₱#,##0.00;"(₱"#,##0.00\)</c:formatCode>
                <c:ptCount val="3"/>
                <c:pt idx="0">
                  <c:v>17498</c:v>
                </c:pt>
                <c:pt idx="1">
                  <c:v>18017</c:v>
                </c:pt>
                <c:pt idx="2">
                  <c:v>18728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328438"/>
        <c:axId val="84794713"/>
      </c:lineChart>
      <c:catAx>
        <c:axId val="343284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94713"/>
        <c:crosses val="autoZero"/>
        <c:auto val="1"/>
        <c:lblAlgn val="ctr"/>
        <c:lblOffset val="100"/>
        <c:noMultiLvlLbl val="0"/>
      </c:catAx>
      <c:valAx>
        <c:axId val="847947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Total Spent (₱)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₱#,##0.00;&quot;(₱&quot;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284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9</xdr:row>
      <xdr:rowOff>40680</xdr:rowOff>
    </xdr:from>
    <xdr:to>
      <xdr:col>9</xdr:col>
      <xdr:colOff>465840</xdr:colOff>
      <xdr:row>26</xdr:row>
      <xdr:rowOff>12600</xdr:rowOff>
    </xdr:to>
    <xdr:graphicFrame>
      <xdr:nvGraphicFramePr>
        <xdr:cNvPr id="0" name="Chart 1"/>
        <xdr:cNvGraphicFramePr/>
      </xdr:nvGraphicFramePr>
      <xdr:xfrm>
        <a:off x="3101400" y="190512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9</xdr:row>
      <xdr:rowOff>40680</xdr:rowOff>
    </xdr:from>
    <xdr:to>
      <xdr:col>16</xdr:col>
      <xdr:colOff>465480</xdr:colOff>
      <xdr:row>26</xdr:row>
      <xdr:rowOff>12600</xdr:rowOff>
    </xdr:to>
    <xdr:graphicFrame>
      <xdr:nvGraphicFramePr>
        <xdr:cNvPr id="1" name="Chart 2"/>
        <xdr:cNvGraphicFramePr/>
      </xdr:nvGraphicFramePr>
      <xdr:xfrm>
        <a:off x="10008720" y="190512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27</xdr:row>
      <xdr:rowOff>11520</xdr:rowOff>
    </xdr:from>
    <xdr:to>
      <xdr:col>9</xdr:col>
      <xdr:colOff>465840</xdr:colOff>
      <xdr:row>44</xdr:row>
      <xdr:rowOff>12600</xdr:rowOff>
    </xdr:to>
    <xdr:graphicFrame>
      <xdr:nvGraphicFramePr>
        <xdr:cNvPr id="2" name="Chart 3"/>
        <xdr:cNvGraphicFramePr/>
      </xdr:nvGraphicFramePr>
      <xdr:xfrm>
        <a:off x="3101400" y="533412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penseTable" displayName="ExpenseTable" ref="A4:E57" headerRowCount="1" totalsRowCount="0" totalsRowShown="0">
  <autoFilter ref="A4:E57"/>
  <tableColumns count="5">
    <tableColumn id="1" name="Date"/>
    <tableColumn id="2" name="Category"/>
    <tableColumn id="3" name="Description"/>
    <tableColumn id="4" name="Amount"/>
    <tableColumn id="5" name="Payment Metho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6" min="2" style="0" width="14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3"/>
      <c r="E5" s="3" t="s">
        <v>3</v>
      </c>
      <c r="F5" s="3"/>
      <c r="H5" s="3" t="s">
        <v>4</v>
      </c>
      <c r="I5" s="3"/>
      <c r="K5" s="3" t="s">
        <v>5</v>
      </c>
      <c r="L5" s="3"/>
    </row>
    <row r="6" customFormat="false" ht="15" hidden="false" customHeight="false" outlineLevel="0" collapsed="false">
      <c r="B6" s="4" t="n">
        <f aca="false">SUM(Transactions!D:D)</f>
        <v>54243</v>
      </c>
      <c r="C6" s="4"/>
      <c r="E6" s="4" t="n">
        <f aca="false">Budget!B15</f>
        <v>26000</v>
      </c>
      <c r="F6" s="4"/>
      <c r="H6" s="4" t="n">
        <f aca="false">Budget!B15-SUM(Transactions!D:D)</f>
        <v>-28243</v>
      </c>
      <c r="I6" s="4"/>
      <c r="K6" s="4" t="n">
        <f aca="false">SUM(Transactions!D:D)/(MAX(Transactions!A:A)-MIN(Transactions!A:A)+1)</f>
        <v>616.397727272727</v>
      </c>
      <c r="L6" s="4"/>
    </row>
    <row r="7" customFormat="false" ht="15" hidden="false" customHeight="false" outlineLevel="0" collapsed="false">
      <c r="B7" s="4"/>
      <c r="C7" s="4"/>
      <c r="E7" s="4"/>
      <c r="F7" s="4"/>
      <c r="H7" s="4"/>
      <c r="I7" s="4"/>
      <c r="K7" s="4"/>
      <c r="L7" s="4"/>
    </row>
    <row r="9" customFormat="false" ht="15" hidden="false" customHeight="false" outlineLevel="0" collapsed="false">
      <c r="B9" s="5" t="s">
        <v>6</v>
      </c>
      <c r="C9" s="5"/>
    </row>
    <row r="10" customFormat="false" ht="16.15" hidden="false" customHeight="false" outlineLevel="0" collapsed="false">
      <c r="B10" s="6" t="str">
        <f aca="false">INDEX(Budget!A5:A14,MATCH(MAX(Budget!C5:C14),Budget!C5:C14,0))</f>
        <v>Rent/Housing</v>
      </c>
      <c r="C10" s="6"/>
    </row>
    <row r="11" customFormat="false" ht="16.15" hidden="false" customHeight="false" outlineLevel="0" collapsed="false">
      <c r="B11" s="7" t="s">
        <v>7</v>
      </c>
    </row>
    <row r="12" customFormat="false" ht="15" hidden="false" customHeight="false" outlineLevel="0" collapsed="false">
      <c r="B12" s="8" t="s">
        <v>8</v>
      </c>
      <c r="C12" s="8" t="s">
        <v>2</v>
      </c>
    </row>
    <row r="13" customFormat="false" ht="15" hidden="false" customHeight="false" outlineLevel="0" collapsed="false">
      <c r="B13" s="9" t="s">
        <v>9</v>
      </c>
      <c r="C13" s="10" t="n">
        <f aca="false">SUMPRODUCT((MONTH(Transactions!$A$5:$A$57)=6)*(YEAR(Transactions!$A$5:$A$57)=2026)*Transactions!$D$5:$D$57)</f>
        <v>17498</v>
      </c>
    </row>
    <row r="14" customFormat="false" ht="15" hidden="false" customHeight="false" outlineLevel="0" collapsed="false">
      <c r="B14" s="9" t="s">
        <v>10</v>
      </c>
      <c r="C14" s="10" t="n">
        <f aca="false">SUMPRODUCT((MONTH(Transactions!$A$5:$A$57)=7)*(YEAR(Transactions!$A$5:$A$57)=2026)*Transactions!$D$5:$D$57)</f>
        <v>18017</v>
      </c>
    </row>
    <row r="15" customFormat="false" ht="15" hidden="false" customHeight="false" outlineLevel="0" collapsed="false">
      <c r="B15" s="9" t="s">
        <v>11</v>
      </c>
      <c r="C15" s="10" t="n">
        <f aca="false">SUMPRODUCT((MONTH(Transactions!$A$5:$A$57)=8)*(YEAR(Transactions!$A$5:$A$57)=2026)*Transactions!$D$5:$D$57)</f>
        <v>18728</v>
      </c>
    </row>
  </sheetData>
  <mergeCells count="10">
    <mergeCell ref="B5:C5"/>
    <mergeCell ref="E5:F5"/>
    <mergeCell ref="H5:I5"/>
    <mergeCell ref="K5:L5"/>
    <mergeCell ref="B6:C7"/>
    <mergeCell ref="E6:F7"/>
    <mergeCell ref="H6:I7"/>
    <mergeCell ref="K6:L7"/>
    <mergeCell ref="B9:C9"/>
    <mergeCell ref="B10:C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2.05" hidden="false" customHeight="false" outlineLevel="0" collapsed="false">
      <c r="A1" s="11" t="s">
        <v>12</v>
      </c>
    </row>
    <row r="2" customFormat="false" ht="15" hidden="false" customHeight="false" outlineLevel="0" collapsed="false">
      <c r="A2" s="2" t="s">
        <v>13</v>
      </c>
    </row>
    <row r="4" customFormat="false" ht="15" hidden="false" customHeight="false" outlineLevel="0" collapsed="false">
      <c r="A4" s="12" t="s">
        <v>14</v>
      </c>
      <c r="B4" s="12" t="s">
        <v>15</v>
      </c>
      <c r="C4" s="12" t="s">
        <v>16</v>
      </c>
      <c r="D4" s="12" t="s">
        <v>17</v>
      </c>
      <c r="E4" s="12" t="s">
        <v>18</v>
      </c>
    </row>
    <row r="5" customFormat="false" ht="15" hidden="false" customHeight="false" outlineLevel="0" collapsed="false">
      <c r="A5" s="13" t="n">
        <v>46175</v>
      </c>
      <c r="B5" s="14" t="s">
        <v>19</v>
      </c>
      <c r="C5" s="14" t="s">
        <v>20</v>
      </c>
      <c r="D5" s="15" t="n">
        <v>5000</v>
      </c>
      <c r="E5" s="14" t="s">
        <v>21</v>
      </c>
    </row>
    <row r="6" customFormat="false" ht="15" hidden="false" customHeight="false" outlineLevel="0" collapsed="false">
      <c r="A6" s="13" t="n">
        <v>46176</v>
      </c>
      <c r="B6" s="14" t="s">
        <v>22</v>
      </c>
      <c r="C6" s="14" t="s">
        <v>23</v>
      </c>
      <c r="D6" s="15" t="n">
        <v>1450</v>
      </c>
      <c r="E6" s="14" t="s">
        <v>24</v>
      </c>
    </row>
    <row r="7" customFormat="false" ht="15" hidden="false" customHeight="false" outlineLevel="0" collapsed="false">
      <c r="A7" s="13" t="n">
        <v>46178</v>
      </c>
      <c r="B7" s="14" t="s">
        <v>25</v>
      </c>
      <c r="C7" s="14" t="s">
        <v>26</v>
      </c>
      <c r="D7" s="15" t="n">
        <v>480</v>
      </c>
      <c r="E7" s="14" t="s">
        <v>27</v>
      </c>
    </row>
    <row r="8" customFormat="false" ht="15" hidden="false" customHeight="false" outlineLevel="0" collapsed="false">
      <c r="A8" s="13" t="n">
        <v>46180</v>
      </c>
      <c r="B8" s="14" t="s">
        <v>28</v>
      </c>
      <c r="C8" s="14" t="s">
        <v>29</v>
      </c>
      <c r="D8" s="15" t="n">
        <v>299</v>
      </c>
      <c r="E8" s="14" t="s">
        <v>27</v>
      </c>
    </row>
    <row r="9" customFormat="false" ht="15" hidden="false" customHeight="false" outlineLevel="0" collapsed="false">
      <c r="A9" s="13" t="n">
        <v>46182</v>
      </c>
      <c r="B9" s="14" t="s">
        <v>30</v>
      </c>
      <c r="C9" s="14" t="s">
        <v>31</v>
      </c>
      <c r="D9" s="15" t="n">
        <v>1180</v>
      </c>
      <c r="E9" s="14" t="s">
        <v>21</v>
      </c>
    </row>
    <row r="10" customFormat="false" ht="15" hidden="false" customHeight="false" outlineLevel="0" collapsed="false">
      <c r="A10" s="13" t="n">
        <v>46183</v>
      </c>
      <c r="B10" s="14" t="s">
        <v>22</v>
      </c>
      <c r="C10" s="14" t="s">
        <v>32</v>
      </c>
      <c r="D10" s="15" t="n">
        <v>320</v>
      </c>
      <c r="E10" s="14" t="s">
        <v>24</v>
      </c>
    </row>
    <row r="11" customFormat="false" ht="15" hidden="false" customHeight="false" outlineLevel="0" collapsed="false">
      <c r="A11" s="13" t="n">
        <v>46185</v>
      </c>
      <c r="B11" s="14" t="s">
        <v>33</v>
      </c>
      <c r="C11" s="14" t="s">
        <v>34</v>
      </c>
      <c r="D11" s="15" t="n">
        <v>540</v>
      </c>
      <c r="E11" s="14" t="s">
        <v>24</v>
      </c>
    </row>
    <row r="12" customFormat="false" ht="15" hidden="false" customHeight="false" outlineLevel="0" collapsed="false">
      <c r="A12" s="13" t="n">
        <v>46188</v>
      </c>
      <c r="B12" s="14" t="s">
        <v>30</v>
      </c>
      <c r="C12" s="14" t="s">
        <v>35</v>
      </c>
      <c r="D12" s="15" t="n">
        <v>1699</v>
      </c>
      <c r="E12" s="14" t="s">
        <v>21</v>
      </c>
    </row>
    <row r="13" customFormat="false" ht="15" hidden="false" customHeight="false" outlineLevel="0" collapsed="false">
      <c r="A13" s="13" t="n">
        <v>46191</v>
      </c>
      <c r="B13" s="14" t="s">
        <v>36</v>
      </c>
      <c r="C13" s="14" t="s">
        <v>37</v>
      </c>
      <c r="D13" s="15" t="n">
        <v>450</v>
      </c>
      <c r="E13" s="14" t="s">
        <v>27</v>
      </c>
    </row>
    <row r="14" customFormat="false" ht="15" hidden="false" customHeight="false" outlineLevel="0" collapsed="false">
      <c r="A14" s="13" t="n">
        <v>46193</v>
      </c>
      <c r="B14" s="14" t="s">
        <v>38</v>
      </c>
      <c r="C14" s="14" t="s">
        <v>39</v>
      </c>
      <c r="D14" s="15" t="n">
        <v>3000</v>
      </c>
      <c r="E14" s="14" t="s">
        <v>21</v>
      </c>
    </row>
    <row r="15" customFormat="false" ht="15" hidden="false" customHeight="false" outlineLevel="0" collapsed="false">
      <c r="A15" s="13" t="n">
        <v>46195</v>
      </c>
      <c r="B15" s="14" t="s">
        <v>22</v>
      </c>
      <c r="C15" s="14" t="s">
        <v>40</v>
      </c>
      <c r="D15" s="15" t="n">
        <v>1680</v>
      </c>
      <c r="E15" s="14" t="s">
        <v>24</v>
      </c>
    </row>
    <row r="16" customFormat="false" ht="15" hidden="false" customHeight="false" outlineLevel="0" collapsed="false">
      <c r="A16" s="13" t="n">
        <v>46198</v>
      </c>
      <c r="B16" s="14" t="s">
        <v>41</v>
      </c>
      <c r="C16" s="14" t="s">
        <v>42</v>
      </c>
      <c r="D16" s="15" t="n">
        <v>1250</v>
      </c>
      <c r="E16" s="14" t="s">
        <v>27</v>
      </c>
    </row>
    <row r="17" customFormat="false" ht="15" hidden="false" customHeight="false" outlineLevel="0" collapsed="false">
      <c r="A17" s="13" t="n">
        <v>46201</v>
      </c>
      <c r="B17" s="14" t="s">
        <v>43</v>
      </c>
      <c r="C17" s="14" t="s">
        <v>44</v>
      </c>
      <c r="D17" s="15" t="n">
        <v>150</v>
      </c>
      <c r="E17" s="14" t="s">
        <v>24</v>
      </c>
    </row>
    <row r="18" customFormat="false" ht="15" hidden="false" customHeight="false" outlineLevel="0" collapsed="false">
      <c r="A18" s="13" t="n">
        <v>46205</v>
      </c>
      <c r="B18" s="14" t="s">
        <v>19</v>
      </c>
      <c r="C18" s="14" t="s">
        <v>20</v>
      </c>
      <c r="D18" s="15" t="n">
        <v>5000</v>
      </c>
      <c r="E18" s="14" t="s">
        <v>21</v>
      </c>
    </row>
    <row r="19" customFormat="false" ht="15" hidden="false" customHeight="false" outlineLevel="0" collapsed="false">
      <c r="A19" s="13" t="n">
        <v>46206</v>
      </c>
      <c r="B19" s="14" t="s">
        <v>22</v>
      </c>
      <c r="C19" s="14" t="s">
        <v>23</v>
      </c>
      <c r="D19" s="15" t="n">
        <v>1600</v>
      </c>
      <c r="E19" s="14" t="s">
        <v>24</v>
      </c>
    </row>
    <row r="20" customFormat="false" ht="15" hidden="false" customHeight="false" outlineLevel="0" collapsed="false">
      <c r="A20" s="13" t="n">
        <v>46207</v>
      </c>
      <c r="B20" s="14" t="s">
        <v>25</v>
      </c>
      <c r="C20" s="14" t="s">
        <v>26</v>
      </c>
      <c r="D20" s="15" t="n">
        <v>520</v>
      </c>
      <c r="E20" s="14" t="s">
        <v>27</v>
      </c>
    </row>
    <row r="21" customFormat="false" ht="15" hidden="false" customHeight="false" outlineLevel="0" collapsed="false">
      <c r="A21" s="13" t="n">
        <v>46210</v>
      </c>
      <c r="B21" s="14" t="s">
        <v>28</v>
      </c>
      <c r="C21" s="14" t="s">
        <v>29</v>
      </c>
      <c r="D21" s="15" t="n">
        <v>299</v>
      </c>
      <c r="E21" s="14" t="s">
        <v>27</v>
      </c>
    </row>
    <row r="22" customFormat="false" ht="15" hidden="false" customHeight="false" outlineLevel="0" collapsed="false">
      <c r="A22" s="13" t="n">
        <v>46212</v>
      </c>
      <c r="B22" s="14" t="s">
        <v>30</v>
      </c>
      <c r="C22" s="14" t="s">
        <v>31</v>
      </c>
      <c r="D22" s="15" t="n">
        <v>1340</v>
      </c>
      <c r="E22" s="14" t="s">
        <v>21</v>
      </c>
    </row>
    <row r="23" customFormat="false" ht="15" hidden="false" customHeight="false" outlineLevel="0" collapsed="false">
      <c r="A23" s="13" t="n">
        <v>46214</v>
      </c>
      <c r="B23" s="14" t="s">
        <v>22</v>
      </c>
      <c r="C23" s="14" t="s">
        <v>32</v>
      </c>
      <c r="D23" s="15" t="n">
        <v>280</v>
      </c>
      <c r="E23" s="14" t="s">
        <v>24</v>
      </c>
    </row>
    <row r="24" customFormat="false" ht="15" hidden="false" customHeight="false" outlineLevel="0" collapsed="false">
      <c r="A24" s="13" t="n">
        <v>46217</v>
      </c>
      <c r="B24" s="14" t="s">
        <v>30</v>
      </c>
      <c r="C24" s="14" t="s">
        <v>35</v>
      </c>
      <c r="D24" s="15" t="n">
        <v>1699</v>
      </c>
      <c r="E24" s="14" t="s">
        <v>21</v>
      </c>
    </row>
    <row r="25" customFormat="false" ht="15" hidden="false" customHeight="false" outlineLevel="0" collapsed="false">
      <c r="A25" s="13" t="n">
        <v>46219</v>
      </c>
      <c r="B25" s="14" t="s">
        <v>36</v>
      </c>
      <c r="C25" s="14" t="s">
        <v>45</v>
      </c>
      <c r="D25" s="15" t="n">
        <v>549</v>
      </c>
      <c r="E25" s="14" t="s">
        <v>27</v>
      </c>
    </row>
    <row r="26" customFormat="false" ht="15" hidden="false" customHeight="false" outlineLevel="0" collapsed="false">
      <c r="A26" s="13" t="n">
        <v>46222</v>
      </c>
      <c r="B26" s="14" t="s">
        <v>38</v>
      </c>
      <c r="C26" s="14" t="s">
        <v>39</v>
      </c>
      <c r="D26" s="15" t="n">
        <v>3000</v>
      </c>
      <c r="E26" s="14" t="s">
        <v>21</v>
      </c>
    </row>
    <row r="27" customFormat="false" ht="15" hidden="false" customHeight="false" outlineLevel="0" collapsed="false">
      <c r="A27" s="13" t="n">
        <v>46224</v>
      </c>
      <c r="B27" s="14" t="s">
        <v>41</v>
      </c>
      <c r="C27" s="14" t="s">
        <v>46</v>
      </c>
      <c r="D27" s="15" t="n">
        <v>890</v>
      </c>
      <c r="E27" s="14" t="s">
        <v>27</v>
      </c>
    </row>
    <row r="28" customFormat="false" ht="15" hidden="false" customHeight="false" outlineLevel="0" collapsed="false">
      <c r="A28" s="13" t="n">
        <v>46227</v>
      </c>
      <c r="B28" s="14" t="s">
        <v>22</v>
      </c>
      <c r="C28" s="14" t="s">
        <v>40</v>
      </c>
      <c r="D28" s="15" t="n">
        <v>1720</v>
      </c>
      <c r="E28" s="14" t="s">
        <v>24</v>
      </c>
    </row>
    <row r="29" customFormat="false" ht="15" hidden="false" customHeight="false" outlineLevel="0" collapsed="false">
      <c r="A29" s="13" t="n">
        <v>46230</v>
      </c>
      <c r="B29" s="14" t="s">
        <v>33</v>
      </c>
      <c r="C29" s="14" t="s">
        <v>47</v>
      </c>
      <c r="D29" s="15" t="n">
        <v>620</v>
      </c>
      <c r="E29" s="14" t="s">
        <v>24</v>
      </c>
    </row>
    <row r="30" customFormat="false" ht="15" hidden="false" customHeight="false" outlineLevel="0" collapsed="false">
      <c r="A30" s="13" t="n">
        <v>46233</v>
      </c>
      <c r="B30" s="14" t="s">
        <v>43</v>
      </c>
      <c r="C30" s="14" t="s">
        <v>48</v>
      </c>
      <c r="D30" s="15" t="n">
        <v>500</v>
      </c>
      <c r="E30" s="14" t="s">
        <v>27</v>
      </c>
    </row>
    <row r="31" customFormat="false" ht="15" hidden="false" customHeight="false" outlineLevel="0" collapsed="false">
      <c r="A31" s="13" t="n">
        <v>46235</v>
      </c>
      <c r="B31" s="14" t="s">
        <v>19</v>
      </c>
      <c r="C31" s="14" t="s">
        <v>20</v>
      </c>
      <c r="D31" s="15" t="n">
        <v>5000</v>
      </c>
      <c r="E31" s="14" t="s">
        <v>21</v>
      </c>
    </row>
    <row r="32" customFormat="false" ht="15" hidden="false" customHeight="false" outlineLevel="0" collapsed="false">
      <c r="A32" s="13" t="n">
        <v>46237</v>
      </c>
      <c r="B32" s="14" t="s">
        <v>22</v>
      </c>
      <c r="C32" s="14" t="s">
        <v>23</v>
      </c>
      <c r="D32" s="15" t="n">
        <v>1550</v>
      </c>
      <c r="E32" s="14" t="s">
        <v>24</v>
      </c>
    </row>
    <row r="33" customFormat="false" ht="15" hidden="false" customHeight="false" outlineLevel="0" collapsed="false">
      <c r="A33" s="13" t="n">
        <v>46239</v>
      </c>
      <c r="B33" s="14" t="s">
        <v>25</v>
      </c>
      <c r="C33" s="14" t="s">
        <v>26</v>
      </c>
      <c r="D33" s="15" t="n">
        <v>610</v>
      </c>
      <c r="E33" s="14" t="s">
        <v>27</v>
      </c>
    </row>
    <row r="34" customFormat="false" ht="15" hidden="false" customHeight="false" outlineLevel="0" collapsed="false">
      <c r="A34" s="13" t="n">
        <v>46241</v>
      </c>
      <c r="B34" s="14" t="s">
        <v>28</v>
      </c>
      <c r="C34" s="14" t="s">
        <v>29</v>
      </c>
      <c r="D34" s="15" t="n">
        <v>299</v>
      </c>
      <c r="E34" s="14" t="s">
        <v>27</v>
      </c>
    </row>
    <row r="35" customFormat="false" ht="15" hidden="false" customHeight="false" outlineLevel="0" collapsed="false">
      <c r="A35" s="13" t="n">
        <v>46244</v>
      </c>
      <c r="B35" s="14" t="s">
        <v>30</v>
      </c>
      <c r="C35" s="14" t="s">
        <v>31</v>
      </c>
      <c r="D35" s="15" t="n">
        <v>1420</v>
      </c>
      <c r="E35" s="14" t="s">
        <v>21</v>
      </c>
    </row>
    <row r="36" customFormat="false" ht="15" hidden="false" customHeight="false" outlineLevel="0" collapsed="false">
      <c r="A36" s="13" t="n">
        <v>46246</v>
      </c>
      <c r="B36" s="14" t="s">
        <v>36</v>
      </c>
      <c r="C36" s="14" t="s">
        <v>49</v>
      </c>
      <c r="D36" s="15" t="n">
        <v>1200</v>
      </c>
      <c r="E36" s="14" t="s">
        <v>27</v>
      </c>
    </row>
    <row r="37" customFormat="false" ht="15" hidden="false" customHeight="false" outlineLevel="0" collapsed="false">
      <c r="A37" s="13" t="n">
        <v>46248</v>
      </c>
      <c r="B37" s="14" t="s">
        <v>30</v>
      </c>
      <c r="C37" s="14" t="s">
        <v>35</v>
      </c>
      <c r="D37" s="15" t="n">
        <v>1699</v>
      </c>
      <c r="E37" s="14" t="s">
        <v>21</v>
      </c>
    </row>
    <row r="38" customFormat="false" ht="15" hidden="false" customHeight="false" outlineLevel="0" collapsed="false">
      <c r="A38" s="13" t="n">
        <v>46251</v>
      </c>
      <c r="B38" s="14" t="s">
        <v>22</v>
      </c>
      <c r="C38" s="14" t="s">
        <v>40</v>
      </c>
      <c r="D38" s="15" t="n">
        <v>1690</v>
      </c>
      <c r="E38" s="14" t="s">
        <v>24</v>
      </c>
    </row>
    <row r="39" customFormat="false" ht="15" hidden="false" customHeight="false" outlineLevel="0" collapsed="false">
      <c r="A39" s="13" t="n">
        <v>46253</v>
      </c>
      <c r="B39" s="14" t="s">
        <v>38</v>
      </c>
      <c r="C39" s="14" t="s">
        <v>39</v>
      </c>
      <c r="D39" s="15" t="n">
        <v>3000</v>
      </c>
      <c r="E39" s="14" t="s">
        <v>21</v>
      </c>
    </row>
    <row r="40" customFormat="false" ht="15" hidden="false" customHeight="false" outlineLevel="0" collapsed="false">
      <c r="A40" s="13" t="n">
        <v>46256</v>
      </c>
      <c r="B40" s="14" t="s">
        <v>41</v>
      </c>
      <c r="C40" s="14" t="s">
        <v>50</v>
      </c>
      <c r="D40" s="15" t="n">
        <v>1480</v>
      </c>
      <c r="E40" s="14" t="s">
        <v>27</v>
      </c>
    </row>
    <row r="41" customFormat="false" ht="15" hidden="false" customHeight="false" outlineLevel="0" collapsed="false">
      <c r="A41" s="13" t="n">
        <v>46259</v>
      </c>
      <c r="B41" s="14" t="s">
        <v>33</v>
      </c>
      <c r="C41" s="14" t="s">
        <v>34</v>
      </c>
      <c r="D41" s="15" t="n">
        <v>480</v>
      </c>
      <c r="E41" s="14" t="s">
        <v>24</v>
      </c>
    </row>
    <row r="42" customFormat="false" ht="15" hidden="false" customHeight="false" outlineLevel="0" collapsed="false">
      <c r="A42" s="13" t="n">
        <v>46262</v>
      </c>
      <c r="B42" s="14" t="s">
        <v>43</v>
      </c>
      <c r="C42" s="14" t="s">
        <v>51</v>
      </c>
      <c r="D42" s="15" t="n">
        <v>300</v>
      </c>
      <c r="E42" s="14" t="s">
        <v>27</v>
      </c>
    </row>
    <row r="43" customFormat="false" ht="15" hidden="false" customHeight="false" outlineLevel="0" collapsed="false">
      <c r="A43" s="16"/>
      <c r="B43" s="17"/>
      <c r="C43" s="17"/>
      <c r="D43" s="18"/>
      <c r="E43" s="17"/>
    </row>
    <row r="44" customFormat="false" ht="15" hidden="false" customHeight="false" outlineLevel="0" collapsed="false">
      <c r="A44" s="16"/>
      <c r="B44" s="17"/>
      <c r="C44" s="17"/>
      <c r="D44" s="18"/>
      <c r="E44" s="17"/>
    </row>
    <row r="45" customFormat="false" ht="15" hidden="false" customHeight="false" outlineLevel="0" collapsed="false">
      <c r="A45" s="16"/>
      <c r="B45" s="17"/>
      <c r="C45" s="17"/>
      <c r="D45" s="18"/>
      <c r="E45" s="17"/>
    </row>
    <row r="46" customFormat="false" ht="15" hidden="false" customHeight="false" outlineLevel="0" collapsed="false">
      <c r="A46" s="16"/>
      <c r="B46" s="17"/>
      <c r="C46" s="17"/>
      <c r="D46" s="18"/>
      <c r="E46" s="17"/>
    </row>
    <row r="47" customFormat="false" ht="15" hidden="false" customHeight="false" outlineLevel="0" collapsed="false">
      <c r="A47" s="16"/>
      <c r="B47" s="17"/>
      <c r="C47" s="17"/>
      <c r="D47" s="18"/>
      <c r="E47" s="17"/>
    </row>
    <row r="48" customFormat="false" ht="15" hidden="false" customHeight="false" outlineLevel="0" collapsed="false">
      <c r="A48" s="16"/>
      <c r="B48" s="17"/>
      <c r="C48" s="17"/>
      <c r="D48" s="18"/>
      <c r="E48" s="17"/>
    </row>
    <row r="49" customFormat="false" ht="15" hidden="false" customHeight="false" outlineLevel="0" collapsed="false">
      <c r="A49" s="16"/>
      <c r="B49" s="17"/>
      <c r="C49" s="17"/>
      <c r="D49" s="18"/>
      <c r="E49" s="17"/>
    </row>
    <row r="50" customFormat="false" ht="15" hidden="false" customHeight="false" outlineLevel="0" collapsed="false">
      <c r="A50" s="16"/>
      <c r="B50" s="17"/>
      <c r="C50" s="17"/>
      <c r="D50" s="18"/>
      <c r="E50" s="17"/>
    </row>
    <row r="51" customFormat="false" ht="15" hidden="false" customHeight="false" outlineLevel="0" collapsed="false">
      <c r="A51" s="16"/>
      <c r="B51" s="17"/>
      <c r="C51" s="17"/>
      <c r="D51" s="18"/>
      <c r="E51" s="17"/>
    </row>
    <row r="52" customFormat="false" ht="15" hidden="false" customHeight="false" outlineLevel="0" collapsed="false">
      <c r="A52" s="16"/>
      <c r="B52" s="17"/>
      <c r="C52" s="17"/>
      <c r="D52" s="18"/>
      <c r="E52" s="17"/>
    </row>
    <row r="53" customFormat="false" ht="15" hidden="false" customHeight="false" outlineLevel="0" collapsed="false">
      <c r="A53" s="16"/>
      <c r="B53" s="17"/>
      <c r="C53" s="17"/>
      <c r="D53" s="18"/>
      <c r="E53" s="17"/>
    </row>
    <row r="54" customFormat="false" ht="15" hidden="false" customHeight="false" outlineLevel="0" collapsed="false">
      <c r="A54" s="16"/>
      <c r="B54" s="17"/>
      <c r="C54" s="17"/>
      <c r="D54" s="18"/>
      <c r="E54" s="17"/>
    </row>
    <row r="55" customFormat="false" ht="15" hidden="false" customHeight="false" outlineLevel="0" collapsed="false">
      <c r="A55" s="16"/>
      <c r="B55" s="17"/>
      <c r="C55" s="17"/>
      <c r="D55" s="18"/>
      <c r="E55" s="17"/>
    </row>
    <row r="56" customFormat="false" ht="15" hidden="false" customHeight="false" outlineLevel="0" collapsed="false">
      <c r="A56" s="16"/>
      <c r="B56" s="17"/>
      <c r="C56" s="17"/>
      <c r="D56" s="18"/>
      <c r="E56" s="17"/>
    </row>
    <row r="57" customFormat="false" ht="15" hidden="false" customHeight="false" outlineLevel="0" collapsed="false">
      <c r="A57" s="16"/>
      <c r="B57" s="17"/>
      <c r="C57" s="17"/>
      <c r="D57" s="18"/>
      <c r="E57" s="17"/>
    </row>
  </sheetData>
  <dataValidations count="2">
    <dataValidation allowBlank="true" errorStyle="stop" operator="between" showDropDown="false" showErrorMessage="false" showInputMessage="false" sqref="B5:B107" type="list">
      <formula1>"Food &amp; Groceries,Transportation,Utilities,Rent/Housing,Communication (Load/Data),Health &amp; Personal Care,Entertainment,Shopping,Savings/Investments,Miscellaneous"</formula1>
      <formula2>0</formula2>
    </dataValidation>
    <dataValidation allowBlank="true" errorStyle="stop" operator="between" showDropDown="false" showErrorMessage="false" showInputMessage="false" sqref="E5:E107" type="list">
      <formula1>"Cash,GCash,Bank Transfer,Credit Card,Debit Card"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6"/>
    <col collapsed="false" customWidth="true" hidden="false" outlineLevel="0" max="5" min="5" style="0" width="12"/>
  </cols>
  <sheetData>
    <row r="1" customFormat="false" ht="22.05" hidden="false" customHeight="false" outlineLevel="0" collapsed="false">
      <c r="A1" s="11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12" t="s">
        <v>15</v>
      </c>
      <c r="B4" s="12" t="s">
        <v>54</v>
      </c>
      <c r="C4" s="12" t="s">
        <v>55</v>
      </c>
      <c r="D4" s="12" t="s">
        <v>56</v>
      </c>
      <c r="E4" s="12" t="s">
        <v>57</v>
      </c>
    </row>
    <row r="5" customFormat="false" ht="15" hidden="false" customHeight="false" outlineLevel="0" collapsed="false">
      <c r="A5" s="17" t="s">
        <v>22</v>
      </c>
      <c r="B5" s="15" t="n">
        <v>6000</v>
      </c>
      <c r="C5" s="18" t="n">
        <f aca="false">SUMIFS(Transactions!$D:$D,Transactions!$B:$B,A5)</f>
        <v>10290</v>
      </c>
      <c r="D5" s="18" t="n">
        <f aca="false">B5-C5</f>
        <v>-4290</v>
      </c>
      <c r="E5" s="19" t="n">
        <f aca="false">IFERROR(C5/B5,0)</f>
        <v>1.715</v>
      </c>
    </row>
    <row r="6" customFormat="false" ht="15" hidden="false" customHeight="false" outlineLevel="0" collapsed="false">
      <c r="A6" s="17" t="s">
        <v>25</v>
      </c>
      <c r="B6" s="15" t="n">
        <v>2000</v>
      </c>
      <c r="C6" s="18" t="n">
        <f aca="false">SUMIFS(Transactions!$D:$D,Transactions!$B:$B,A6)</f>
        <v>1610</v>
      </c>
      <c r="D6" s="18" t="n">
        <f aca="false">B6-C6</f>
        <v>390</v>
      </c>
      <c r="E6" s="19" t="n">
        <f aca="false">IFERROR(C6/B6,0)</f>
        <v>0.805</v>
      </c>
    </row>
    <row r="7" customFormat="false" ht="15" hidden="false" customHeight="false" outlineLevel="0" collapsed="false">
      <c r="A7" s="17" t="s">
        <v>30</v>
      </c>
      <c r="B7" s="15" t="n">
        <v>5000</v>
      </c>
      <c r="C7" s="18" t="n">
        <f aca="false">SUMIFS(Transactions!$D:$D,Transactions!$B:$B,A7)</f>
        <v>9037</v>
      </c>
      <c r="D7" s="18" t="n">
        <f aca="false">B7-C7</f>
        <v>-4037</v>
      </c>
      <c r="E7" s="19" t="n">
        <f aca="false">IFERROR(C7/B7,0)</f>
        <v>1.8074</v>
      </c>
    </row>
    <row r="8" customFormat="false" ht="15" hidden="false" customHeight="false" outlineLevel="0" collapsed="false">
      <c r="A8" s="17" t="s">
        <v>19</v>
      </c>
      <c r="B8" s="15" t="n">
        <v>5000</v>
      </c>
      <c r="C8" s="18" t="n">
        <f aca="false">SUMIFS(Transactions!$D:$D,Transactions!$B:$B,A8)</f>
        <v>15000</v>
      </c>
      <c r="D8" s="18" t="n">
        <f aca="false">B8-C8</f>
        <v>-10000</v>
      </c>
      <c r="E8" s="19" t="n">
        <f aca="false">IFERROR(C8/B8,0)</f>
        <v>3</v>
      </c>
    </row>
    <row r="9" customFormat="false" ht="15" hidden="false" customHeight="false" outlineLevel="0" collapsed="false">
      <c r="A9" s="17" t="s">
        <v>28</v>
      </c>
      <c r="B9" s="15" t="n">
        <v>800</v>
      </c>
      <c r="C9" s="18" t="n">
        <f aca="false">SUMIFS(Transactions!$D:$D,Transactions!$B:$B,A9)</f>
        <v>897</v>
      </c>
      <c r="D9" s="18" t="n">
        <f aca="false">B9-C9</f>
        <v>-97</v>
      </c>
      <c r="E9" s="19" t="n">
        <f aca="false">IFERROR(C9/B9,0)</f>
        <v>1.12125</v>
      </c>
    </row>
    <row r="10" customFormat="false" ht="15" hidden="false" customHeight="false" outlineLevel="0" collapsed="false">
      <c r="A10" s="17" t="s">
        <v>33</v>
      </c>
      <c r="B10" s="15" t="n">
        <v>1000</v>
      </c>
      <c r="C10" s="18" t="n">
        <f aca="false">SUMIFS(Transactions!$D:$D,Transactions!$B:$B,A10)</f>
        <v>1640</v>
      </c>
      <c r="D10" s="18" t="n">
        <f aca="false">B10-C10</f>
        <v>-640</v>
      </c>
      <c r="E10" s="19" t="n">
        <f aca="false">IFERROR(C10/B10,0)</f>
        <v>1.64</v>
      </c>
    </row>
    <row r="11" customFormat="false" ht="15" hidden="false" customHeight="false" outlineLevel="0" collapsed="false">
      <c r="A11" s="17" t="s">
        <v>36</v>
      </c>
      <c r="B11" s="15" t="n">
        <v>1000</v>
      </c>
      <c r="C11" s="18" t="n">
        <f aca="false">SUMIFS(Transactions!$D:$D,Transactions!$B:$B,A11)</f>
        <v>2199</v>
      </c>
      <c r="D11" s="18" t="n">
        <f aca="false">B11-C11</f>
        <v>-1199</v>
      </c>
      <c r="E11" s="19" t="n">
        <f aca="false">IFERROR(C11/B11,0)</f>
        <v>2.199</v>
      </c>
    </row>
    <row r="12" customFormat="false" ht="15" hidden="false" customHeight="false" outlineLevel="0" collapsed="false">
      <c r="A12" s="17" t="s">
        <v>41</v>
      </c>
      <c r="B12" s="15" t="n">
        <v>1500</v>
      </c>
      <c r="C12" s="18" t="n">
        <f aca="false">SUMIFS(Transactions!$D:$D,Transactions!$B:$B,A12)</f>
        <v>3620</v>
      </c>
      <c r="D12" s="18" t="n">
        <f aca="false">B12-C12</f>
        <v>-2120</v>
      </c>
      <c r="E12" s="19" t="n">
        <f aca="false">IFERROR(C12/B12,0)</f>
        <v>2.41333333333333</v>
      </c>
    </row>
    <row r="13" customFormat="false" ht="15" hidden="false" customHeight="false" outlineLevel="0" collapsed="false">
      <c r="A13" s="17" t="s">
        <v>38</v>
      </c>
      <c r="B13" s="15" t="n">
        <v>3000</v>
      </c>
      <c r="C13" s="18" t="n">
        <f aca="false">SUMIFS(Transactions!$D:$D,Transactions!$B:$B,A13)</f>
        <v>9000</v>
      </c>
      <c r="D13" s="18" t="n">
        <f aca="false">B13-C13</f>
        <v>-6000</v>
      </c>
      <c r="E13" s="19" t="n">
        <f aca="false">IFERROR(C13/B13,0)</f>
        <v>3</v>
      </c>
    </row>
    <row r="14" customFormat="false" ht="15" hidden="false" customHeight="false" outlineLevel="0" collapsed="false">
      <c r="A14" s="17" t="s">
        <v>43</v>
      </c>
      <c r="B14" s="15" t="n">
        <v>700</v>
      </c>
      <c r="C14" s="18" t="n">
        <f aca="false">SUMIFS(Transactions!$D:$D,Transactions!$B:$B,A14)</f>
        <v>950</v>
      </c>
      <c r="D14" s="18" t="n">
        <f aca="false">B14-C14</f>
        <v>-250</v>
      </c>
      <c r="E14" s="19" t="n">
        <f aca="false">IFERROR(C14/B14,0)</f>
        <v>1.35714285714286</v>
      </c>
    </row>
    <row r="15" customFormat="false" ht="15" hidden="false" customHeight="false" outlineLevel="0" collapsed="false">
      <c r="A15" s="20" t="s">
        <v>58</v>
      </c>
      <c r="B15" s="21" t="n">
        <f aca="false">SUM(B5:B14)</f>
        <v>26000</v>
      </c>
      <c r="C15" s="21" t="n">
        <f aca="false">SUM(C5:C14)</f>
        <v>54243</v>
      </c>
      <c r="D15" s="21" t="n">
        <f aca="false">SUM(D5:D14)</f>
        <v>-28243</v>
      </c>
      <c r="E15" s="22" t="n">
        <f aca="false">IFERROR(C15/B15,0)</f>
        <v>2.08626923076923</v>
      </c>
    </row>
  </sheetData>
  <conditionalFormatting sqref="E5:E14">
    <cfRule type="cellIs" priority="2" operator="greaterThan" aboveAverage="0" equalAverage="0" bottom="0" percent="0" rank="0" text="" dxfId="5">
      <formula>1</formula>
    </cfRule>
    <cfRule type="colorScale" priority="3">
      <colorScale>
        <cfvo type="num" val="0"/>
        <cfvo type="num" val="1"/>
        <cfvo type="num" val="1.3"/>
        <color rgb="FFC6EFCE"/>
        <color rgb="FFFFEB9C"/>
        <color rgb="FFFFC7C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2026-09-14T00:36:33Z</dcterms:created>
  <dc:creator>openpyxl</dc:creator>
  <dc:description/>
  <dc:language>en-US</dc:language>
  <cp:lastModifiedBy/>
  <dcterms:modified xsi:type="dcterms:W3CDTF">2026-09-14T00:36:35Z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